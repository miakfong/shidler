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887ee8e889da9f/Desktop/"/>
    </mc:Choice>
  </mc:AlternateContent>
  <xr:revisionPtr revIDLastSave="792" documentId="8_{854DC74C-1005-47C5-9C6C-CBCD2E62549E}" xr6:coauthVersionLast="47" xr6:coauthVersionMax="47" xr10:uidLastSave="{7CAB6FAD-35F5-45E6-B61E-4E7BA8C3AE47}"/>
  <bookViews>
    <workbookView xWindow="-110" yWindow="-110" windowWidth="19420" windowHeight="11500" activeTab="3" xr2:uid="{A3354AFF-6381-47F5-90D9-6B5510F6EE8E}"/>
  </bookViews>
  <sheets>
    <sheet name="Balance Sheet" sheetId="1" r:id="rId1"/>
    <sheet name="Income Statement" sheetId="2" r:id="rId2"/>
    <sheet name="Cash Flow Statement" sheetId="3" r:id="rId3"/>
    <sheet name="Ratios" sheetId="4" r:id="rId4"/>
    <sheet name="Notes" sheetId="5" r:id="rId5"/>
  </sheets>
  <definedNames>
    <definedName name="avg_equity">Ratios!$C$33</definedName>
    <definedName name="avg_total_assets">Ratios!$C$34</definedName>
    <definedName name="avg_total_capitalization">Ratios!$C$35</definedName>
    <definedName name="BAL_assets_current_2024">'Balance Sheet'!$C$9</definedName>
    <definedName name="BAL_assets_total_2023">'Balance Sheet'!$D$20</definedName>
    <definedName name="BAL_assets_total_2024">'Balance Sheet'!$C$20</definedName>
    <definedName name="BAL_cash_marketable_securities_2024">'Balance Sheet'!$C$5</definedName>
    <definedName name="BAL_debt_long_term_2023">'Balance Sheet'!$H$10</definedName>
    <definedName name="BAL_debt_long_term_2024">'Balance Sheet'!$G$10</definedName>
    <definedName name="BAL_equity_shareholders_2023">'Balance Sheet'!$H$18</definedName>
    <definedName name="BAL_equity_shareholders_2024">'Balance Sheet'!$G$18</definedName>
    <definedName name="BAL_inventories_2023">'Balance Sheet'!$D$7</definedName>
    <definedName name="BAL_liabilities_current_2024">'Balance Sheet'!$G$8</definedName>
    <definedName name="BAL_liabilities_total_2024">'Balance Sheet'!$G$13</definedName>
    <definedName name="BAL_receivables_2023">'Balance Sheet'!$D$6</definedName>
    <definedName name="BAL_receivables_2024">'Balance Sheet'!$C$6</definedName>
    <definedName name="cost_capital">Ratios!$C$7</definedName>
    <definedName name="currentYear_after_tax_operating_income">Ratios!$C$19</definedName>
    <definedName name="currentYear_assets_current">Ratios!$C$23</definedName>
    <definedName name="currentYear_assets_total">Ratios!$C$28</definedName>
    <definedName name="currentYear_cash_marketable_securities">Ratios!$C$22</definedName>
    <definedName name="currentYear_cost_goods_sold_daily">Ratios!$C$25</definedName>
    <definedName name="currentYear_daily_sales_average">Ratios!$C$20</definedName>
    <definedName name="currentYear_debt_long_term">Ratios!$C$26</definedName>
    <definedName name="currentYear_equity">Ratios!$C$21</definedName>
    <definedName name="currentYear_liabilities_current">Ratios!$C$24</definedName>
    <definedName name="currentYear_liabilities_total">Ratios!$C$30</definedName>
    <definedName name="currentYear_total_capitalization">Ratios!$C$29</definedName>
    <definedName name="currentYear_woking_capital_net">Ratios!$C$27</definedName>
    <definedName name="currentYear_working_capital_net">Ratios!$C$27</definedName>
    <definedName name="debt_long_term_equity">Ratios!$C$36</definedName>
    <definedName name="INC_cost_goods_sold">'Income Statement'!$C$5</definedName>
    <definedName name="INC_depreciation">'Income Statement'!$C$7</definedName>
    <definedName name="INC_ebit">'Income Statement'!$C$8</definedName>
    <definedName name="INC_interest_expense">'Income Statement'!$C$11</definedName>
    <definedName name="INC_net">'Income Statement'!$C$15</definedName>
    <definedName name="INC_sales">'Income Statement'!$C$4</definedName>
    <definedName name="market_capitalization">Ratios!$C$9</definedName>
    <definedName name="RATIO_asset_turnover">Ratios!$C$53</definedName>
    <definedName name="RATIO_debt_burden">Ratios!$C$67</definedName>
    <definedName name="RATIO_leverage">Ratios!$C$68</definedName>
    <definedName name="RATIO_operating_profit_margin">Ratios!$C$59</definedName>
    <definedName name="share_price">Ratios!$C$5</definedName>
    <definedName name="shares_outstanding">Ratios!$C$6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tax_rate">Ratios!$C$8</definedName>
    <definedName name="yearCurrent">Ratios!$C$3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3" i="4" l="1" a="1"/>
  <c r="C73" i="4" s="1"/>
  <c r="C58" i="4"/>
  <c r="C85" i="4" s="1"/>
  <c r="C74" i="4"/>
  <c r="C66" i="4"/>
  <c r="C65" i="4" a="1"/>
  <c r="C65" i="4" s="1"/>
  <c r="C59" i="4"/>
  <c r="C82" i="4" s="1"/>
  <c r="C57" i="4"/>
  <c r="C30" i="4"/>
  <c r="C29" i="4"/>
  <c r="C35" i="4" s="1"/>
  <c r="C28" i="4"/>
  <c r="C71" i="4" s="1"/>
  <c r="C27" i="4"/>
  <c r="C26" i="4"/>
  <c r="C63" i="4" s="1"/>
  <c r="C25" i="4"/>
  <c r="C24" i="4"/>
  <c r="C23" i="4"/>
  <c r="C72" i="4" s="1"/>
  <c r="C22" i="4"/>
  <c r="C21" i="4"/>
  <c r="C41" i="4" s="1"/>
  <c r="C16" i="4"/>
  <c r="C15" i="4"/>
  <c r="C14" i="4"/>
  <c r="C13" i="4"/>
  <c r="C12" i="4"/>
  <c r="C47" i="4"/>
  <c r="C56" i="4" a="1"/>
  <c r="C56" i="4" s="1"/>
  <c r="C55" i="4"/>
  <c r="C54" i="4"/>
  <c r="C53" i="4"/>
  <c r="C19" i="4" a="1"/>
  <c r="C19" i="4" s="1"/>
  <c r="C67" i="4" s="1"/>
  <c r="C20" i="4"/>
  <c r="C34" i="4"/>
  <c r="C33" i="4"/>
  <c r="C50" i="4" s="1"/>
  <c r="C84" i="4" s="1"/>
  <c r="C9" i="4"/>
  <c r="C4" i="4"/>
  <c r="C30" i="3"/>
  <c r="C28" i="3"/>
  <c r="C20" i="3"/>
  <c r="C14" i="3"/>
  <c r="C13" i="3"/>
  <c r="C12" i="3"/>
  <c r="C11" i="3"/>
  <c r="C10" i="3"/>
  <c r="C9" i="3"/>
  <c r="C8" i="3"/>
  <c r="C6" i="3"/>
  <c r="C5" i="3"/>
  <c r="D17" i="2"/>
  <c r="C17" i="2"/>
  <c r="D19" i="2"/>
  <c r="D18" i="2"/>
  <c r="C19" i="2"/>
  <c r="D15" i="2"/>
  <c r="D14" i="2"/>
  <c r="C15" i="2"/>
  <c r="D12" i="2"/>
  <c r="D11" i="2"/>
  <c r="D10" i="2"/>
  <c r="C12" i="2"/>
  <c r="D8" i="2"/>
  <c r="C8" i="2"/>
  <c r="D7" i="2"/>
  <c r="D6" i="2"/>
  <c r="D5" i="2"/>
  <c r="D4" i="2"/>
  <c r="C21" i="1"/>
  <c r="D20" i="1"/>
  <c r="C20" i="1"/>
  <c r="D18" i="1"/>
  <c r="C18" i="1"/>
  <c r="H20" i="1"/>
  <c r="G20" i="1"/>
  <c r="H18" i="1"/>
  <c r="G18" i="1"/>
  <c r="H13" i="1"/>
  <c r="G13" i="1"/>
  <c r="H8" i="1"/>
  <c r="G8" i="1"/>
  <c r="D14" i="1"/>
  <c r="C14" i="1"/>
  <c r="D9" i="1"/>
  <c r="C9" i="1"/>
  <c r="C64" i="4" l="1"/>
  <c r="C36" i="4"/>
  <c r="C79" i="4"/>
  <c r="C40" i="4"/>
  <c r="C68" i="4"/>
  <c r="C62" i="4"/>
  <c r="C42" i="4"/>
  <c r="C49" i="4"/>
  <c r="C48" i="4"/>
  <c r="C45" i="4"/>
  <c r="C81" i="4" s="1"/>
  <c r="C46" i="4"/>
  <c r="C77" i="4" l="1"/>
  <c r="C83" i="4"/>
  <c r="C7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<sst xmlns="http://schemas.openxmlformats.org/spreadsheetml/2006/main" count="307" uniqueCount="277">
  <si>
    <t>Balance Sheet — Apple Inc. (AAPL)</t>
  </si>
  <si>
    <t>ASSETS</t>
  </si>
  <si>
    <t>FY2024 (Sep 28, 2024</t>
  </si>
  <si>
    <t>FY2023 (Sep 30,2023)</t>
  </si>
  <si>
    <t>(All figures in $millions)</t>
  </si>
  <si>
    <t>Current Assets</t>
  </si>
  <si>
    <t>Fixed Assets</t>
  </si>
  <si>
    <t xml:space="preserve">    Cash and marketable securities</t>
  </si>
  <si>
    <t xml:space="preserve">    Receivables</t>
  </si>
  <si>
    <t xml:space="preserve">    Inventories</t>
  </si>
  <si>
    <t xml:space="preserve">    Other current assets</t>
  </si>
  <si>
    <t xml:space="preserve">    Total current assets</t>
  </si>
  <si>
    <t xml:space="preserve">    Property, plant, and equipment</t>
  </si>
  <si>
    <t xml:space="preserve">    Less accumulated depreciation</t>
  </si>
  <si>
    <t xml:space="preserve">    Net tangible fixed assets</t>
  </si>
  <si>
    <t>Other Assets</t>
  </si>
  <si>
    <t xml:space="preserve">    Retained earnings/Accum. other comp. loss</t>
  </si>
  <si>
    <t xml:space="preserve">    Other assets</t>
  </si>
  <si>
    <t>Balance Check (TA-TL&amp;E)</t>
  </si>
  <si>
    <t>Source: Apple 10-K FY2024, SEC EDGAR</t>
  </si>
  <si>
    <t>LIABILITIES &amp; EQUITY</t>
  </si>
  <si>
    <t>Current Liabilities</t>
  </si>
  <si>
    <t xml:space="preserve">    Debt due for repayment</t>
  </si>
  <si>
    <t xml:space="preserve">    Accounts payable</t>
  </si>
  <si>
    <t xml:space="preserve">    Other current liabilities</t>
  </si>
  <si>
    <t xml:space="preserve">    Total current liabilities</t>
  </si>
  <si>
    <t xml:space="preserve">    Long-term debt</t>
  </si>
  <si>
    <t xml:space="preserve">    Other long-term liabilities</t>
  </si>
  <si>
    <t>Total Liabilities</t>
  </si>
  <si>
    <t>Shareholders' Equity</t>
  </si>
  <si>
    <t xml:space="preserve">    Common stock and paid-in capital</t>
  </si>
  <si>
    <t xml:space="preserve">    Retained earnings</t>
  </si>
  <si>
    <r>
      <t xml:space="preserve">    </t>
    </r>
    <r>
      <rPr>
        <b/>
        <sz val="10"/>
        <color theme="1"/>
        <rFont val="Open Sans"/>
        <family val="2"/>
      </rPr>
      <t>Total shareholders' equity</t>
    </r>
  </si>
  <si>
    <t>FY2024 (Sep 28, 2024)</t>
  </si>
  <si>
    <t>FY2023 (Sep 30, 2023)</t>
  </si>
  <si>
    <t>Income Statement — Apple Inc. (AAPL)</t>
  </si>
  <si>
    <t>Line Item</t>
  </si>
  <si>
    <t>Net sales</t>
  </si>
  <si>
    <t>less Cost of goods sold</t>
  </si>
  <si>
    <t>less Selling, general &amp; administrative</t>
  </si>
  <si>
    <t>less Depreciation</t>
  </si>
  <si>
    <t>Earnings before interest &amp; taxes (EBIT)</t>
  </si>
  <si>
    <t>plus Other income</t>
  </si>
  <si>
    <t>less Interest expense</t>
  </si>
  <si>
    <t>Taxable income</t>
  </si>
  <si>
    <t>less Taxes</t>
  </si>
  <si>
    <t>Net income</t>
  </si>
  <si>
    <t>Allocation of Net Income</t>
  </si>
  <si>
    <t>Dividends</t>
  </si>
  <si>
    <t>Addition to retained earnings</t>
  </si>
  <si>
    <t>% of Sales</t>
  </si>
  <si>
    <t>Cash Flow Statement — Apple Inc. (AAPL)</t>
  </si>
  <si>
    <t>Source/Notes</t>
  </si>
  <si>
    <t>Operations:</t>
  </si>
  <si>
    <t>plus Depreciation</t>
  </si>
  <si>
    <t xml:space="preserve">    plus Changes in working capital items</t>
  </si>
  <si>
    <t xml:space="preserve">    Decrease (increase) in accounts receivable</t>
  </si>
  <si>
    <t xml:space="preserve">    Decrease (increase) in inventories</t>
  </si>
  <si>
    <t xml:space="preserve">    Decrease (increase) in other current assets</t>
  </si>
  <si>
    <t xml:space="preserve">    Increase (decrease) in accounts payable</t>
  </si>
  <si>
    <t xml:space="preserve">    Increase (decrease) in other current liabilities</t>
  </si>
  <si>
    <r>
      <t xml:space="preserve">    </t>
    </r>
    <r>
      <rPr>
        <b/>
        <sz val="10"/>
        <color theme="1"/>
        <rFont val="Open Sans"/>
        <family val="2"/>
      </rPr>
      <t>Total change in working capital</t>
    </r>
  </si>
  <si>
    <t>Cash provided by operations</t>
  </si>
  <si>
    <t>Investments:</t>
  </si>
  <si>
    <t>Capital expenditures</t>
  </si>
  <si>
    <t>plus Sales (acquisitions) of long-term assets</t>
  </si>
  <si>
    <t>plus Other investing activities</t>
  </si>
  <si>
    <r>
      <t xml:space="preserve">    </t>
    </r>
    <r>
      <rPr>
        <b/>
        <sz val="10"/>
        <color theme="1"/>
        <rFont val="Open Sans"/>
        <family val="2"/>
      </rPr>
      <t>Cash provided by (used for) investments</t>
    </r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</si>
  <si>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</si>
  <si>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</si>
  <si>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</si>
  <si>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</si>
  <si>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</si>
  <si>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</si>
  <si>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r>
      <t xml:space="preserve">    </t>
    </r>
    <r>
      <rPr>
        <b/>
        <sz val="10"/>
        <color theme="1"/>
        <rFont val="Open Sans"/>
        <family val="2"/>
      </rPr>
      <t>Cash provided by (used for) financing</t>
    </r>
  </si>
  <si>
    <r>
      <t xml:space="preserve">    </t>
    </r>
    <r>
      <rPr>
        <b/>
        <sz val="10"/>
        <color theme="1"/>
        <rFont val="Open Sans"/>
        <family val="2"/>
      </rPr>
      <t>Net increase (decrease) in cash</t>
    </r>
  </si>
  <si>
    <t>[Income Statement]</t>
  </si>
  <si>
    <t>[Balance Sheet]</t>
  </si>
  <si>
    <t>Ratios — Apple Inc. (AAPL)</t>
  </si>
  <si>
    <t>Metric</t>
  </si>
  <si>
    <t>Input</t>
  </si>
  <si>
    <t>Named Range Formula</t>
  </si>
  <si>
    <t>Current year</t>
  </si>
  <si>
    <t>Start of year</t>
  </si>
  <si>
    <t>Share price</t>
  </si>
  <si>
    <t>Shares outstanding (M)</t>
  </si>
  <si>
    <t>Cost of capital</t>
  </si>
  <si>
    <t>Tax rate</t>
  </si>
  <si>
    <t>Market capitalization</t>
  </si>
  <si>
    <t>yearCurrent-1</t>
  </si>
  <si>
    <t>share_price x shares_outstanding</t>
  </si>
  <si>
    <t>— Start of Year (Prior Year Balance Sheet) —</t>
  </si>
  <si>
    <t>Equity (start of year)</t>
  </si>
  <si>
    <t>BAL_equity_shareholders_2023</t>
  </si>
  <si>
    <t>BAL_inventories_2023</t>
  </si>
  <si>
    <t>BAL_receivables_2023</t>
  </si>
  <si>
    <t>BAL_assets_total_2023</t>
  </si>
  <si>
    <t>BAL_debt_long_term_2023+BAL_equity_shareholders_2023</t>
  </si>
  <si>
    <t>Named Range</t>
  </si>
  <si>
    <t>yearCurrent</t>
  </si>
  <si>
    <t>yearStart</t>
  </si>
  <si>
    <t>share_price</t>
  </si>
  <si>
    <t>market_capitalization</t>
  </si>
  <si>
    <t>shares_outstanding</t>
  </si>
  <si>
    <t>cost_capital</t>
  </si>
  <si>
    <t>tax_rate</t>
  </si>
  <si>
    <t>startYear_equity</t>
  </si>
  <si>
    <t>startYear_inventory</t>
  </si>
  <si>
    <t>startYear_receivables</t>
  </si>
  <si>
    <t>startYear_total_assets</t>
  </si>
  <si>
    <t>startYear_total_capitalization</t>
  </si>
  <si>
    <t>Inventories (start of year)</t>
  </si>
  <si>
    <t>Receivables (start of year)</t>
  </si>
  <si>
    <t>Total assets (start of year)</t>
  </si>
  <si>
    <t>Total capitalization (start of year)</t>
  </si>
  <si>
    <t>— Current Year (Derived) —</t>
  </si>
  <si>
    <t>After-tax operating income</t>
  </si>
  <si>
    <t>Average daily sales</t>
  </si>
  <si>
    <t>Book value of equity</t>
  </si>
  <si>
    <t>Cash + Mktable securities</t>
  </si>
  <si>
    <t>Current assets</t>
  </si>
  <si>
    <t>Current liabilities</t>
  </si>
  <si>
    <t>Daily COGS</t>
  </si>
  <si>
    <t>Long-term debt</t>
  </si>
  <si>
    <t>Net working capital</t>
  </si>
  <si>
    <t>Total assets</t>
  </si>
  <si>
    <t>Total capitalization</t>
  </si>
  <si>
    <t>Total liabilities</t>
  </si>
  <si>
    <t>— Mixed Year (Averages) —</t>
  </si>
  <si>
    <t>Average equity</t>
  </si>
  <si>
    <t>Average total assets</t>
  </si>
  <si>
    <t>Average total capitalization</t>
  </si>
  <si>
    <t>Long-term debt + Equity</t>
  </si>
  <si>
    <t>BAL_cash_marketable_securities_2024</t>
  </si>
  <si>
    <t>BAL_assets_current_2024</t>
  </si>
  <si>
    <t>BAL_liabilities_current_2024</t>
  </si>
  <si>
    <t>INC_cost_goods_sold / 365</t>
  </si>
  <si>
    <t>BAL_debt_long_term_2024</t>
  </si>
  <si>
    <t>BAL_assets_current_2024 - BAL_liabilities_current_2024</t>
  </si>
  <si>
    <t>INC_net + (1-tax_rate) x INC_interest_expense</t>
  </si>
  <si>
    <t>INC_sales / 365</t>
  </si>
  <si>
    <t>BAL_equity_shareholders_2024</t>
  </si>
  <si>
    <t>BAL_assets_total_2024</t>
  </si>
  <si>
    <t>BAL_debt_long_term_2024 + BAL_equity_shareholders_2024</t>
  </si>
  <si>
    <t>BAL_liabilities_total_2024</t>
  </si>
  <si>
    <t>currentYear_after_tax_operating_income</t>
  </si>
  <si>
    <t>currentYear_total_capitalization</t>
  </si>
  <si>
    <t>currentYear_daily_sales_average</t>
  </si>
  <si>
    <t>currentYear_equity</t>
  </si>
  <si>
    <t>currentYear_cash_marketable_securities</t>
  </si>
  <si>
    <t>currentYear_assets_current</t>
  </si>
  <si>
    <t>currentYear_liabilities_current</t>
  </si>
  <si>
    <t>currentYear_debt_long_term</t>
  </si>
  <si>
    <t>currentYear_assets_total</t>
  </si>
  <si>
    <t>currentYear_liabilities_total</t>
  </si>
  <si>
    <t>currentYear_cost_goods_sold_daily</t>
  </si>
  <si>
    <t>currentYear_working_capital_net</t>
  </si>
  <si>
    <t>AVERAGE(startYear_equity, currentYear_equity)</t>
  </si>
  <si>
    <t>AVERAGE(startYear_total_assets, currentYear_assets_total)</t>
  </si>
  <si>
    <t>AVERAGE(startYear_total_capitalization, currentYear_total_capitalization)</t>
  </si>
  <si>
    <t>currentYear_debt_long_term + currentYear_equity</t>
  </si>
  <si>
    <t>avg_equity</t>
  </si>
  <si>
    <t>avg_total_assets</t>
  </si>
  <si>
    <t>avg_total_capitalization</t>
  </si>
  <si>
    <t>debt_long_term_equity</t>
  </si>
  <si>
    <t>Ratio</t>
  </si>
  <si>
    <t>Output</t>
  </si>
  <si>
    <t>Named Range Formula (reference)</t>
  </si>
  <si>
    <t>Performance</t>
  </si>
  <si>
    <t>Market value added (MVA)</t>
  </si>
  <si>
    <t>Market-to-book ratio</t>
  </si>
  <si>
    <t>Economic value added (EVA)</t>
  </si>
  <si>
    <t>Profitability</t>
  </si>
  <si>
    <t>Return on assets (ROA)</t>
  </si>
  <si>
    <t>Return on capital (ROC)</t>
  </si>
  <si>
    <t>Return on equity (ROE)</t>
  </si>
  <si>
    <t>Return on assets (ROA) [AVG]</t>
  </si>
  <si>
    <t>Return on capital (ROC) [AVG]</t>
  </si>
  <si>
    <t>Return on equity (ROE) [AVG]</t>
  </si>
  <si>
    <t>Efficiency</t>
  </si>
  <si>
    <t>Asset turnover</t>
  </si>
  <si>
    <t>Receivables turnover</t>
  </si>
  <si>
    <t>Average collection period (days)</t>
  </si>
  <si>
    <t>Inventory turnover</t>
  </si>
  <si>
    <t>Days in inventory</t>
  </si>
  <si>
    <t>Profit margin</t>
  </si>
  <si>
    <t>Operating profit margin</t>
  </si>
  <si>
    <t>Leverage</t>
  </si>
  <si>
    <t>Long-term debt ratio</t>
  </si>
  <si>
    <t>Long-term debt-equity ratio</t>
  </si>
  <si>
    <t>Total debt ratio</t>
  </si>
  <si>
    <t>Times interest earned</t>
  </si>
  <si>
    <t>Cash coverage ratio</t>
  </si>
  <si>
    <t>Debt burden</t>
  </si>
  <si>
    <t>Leverage ratio</t>
  </si>
  <si>
    <t>Liquidity</t>
  </si>
  <si>
    <t>Net working capital to assets</t>
  </si>
  <si>
    <t>Current ratio</t>
  </si>
  <si>
    <t>Cash ratio</t>
  </si>
  <si>
    <t>Du Pont System</t>
  </si>
  <si>
    <t>Return on assets (Du Pont)</t>
  </si>
  <si>
    <t xml:space="preserve">    Asset turnover</t>
  </si>
  <si>
    <t xml:space="preserve">    Operating profit margin</t>
  </si>
  <si>
    <t>Return on equity (Du Pont)</t>
  </si>
  <si>
    <t xml:space="preserve">    Leverage ratio</t>
  </si>
  <si>
    <t xml:space="preserve">    Debt burden</t>
  </si>
  <si>
    <t>market_capitalization - currentYear_equity</t>
  </si>
  <si>
    <t>market_capitalization / currentYear_equity</t>
  </si>
  <si>
    <t>currentYear_after_tax_operating_income - (cost_capital x startYear_total_capitalization)</t>
  </si>
  <si>
    <t>currentYear_after_tax_operating_income / startYear_total_assets</t>
  </si>
  <si>
    <t>currentYear_after_tax_operating_income / startYear_total_capitalization</t>
  </si>
  <si>
    <t>INC_net / startYear_equity</t>
  </si>
  <si>
    <t>currentYear_after_tax_operating_income / avg_total_assets</t>
  </si>
  <si>
    <t>currentYear_after_tax_operating_income / avg_total_capitalization</t>
  </si>
  <si>
    <t>INC_net / avg_equity</t>
  </si>
  <si>
    <t>INC_sales / startYear_total_assets</t>
  </si>
  <si>
    <t>INC_sales / startYear_receivables</t>
  </si>
  <si>
    <t>startYear_receivables / currentYear_daily_sales_average</t>
  </si>
  <si>
    <t>INC_cost_goods_sold / startYear_inventory</t>
  </si>
  <si>
    <t>startYear_inventory / currentYear_cost_goods_sold_daily</t>
  </si>
  <si>
    <t>INC_net / INC_sales</t>
  </si>
  <si>
    <t>currentYear_after_tax_operating_income / INC_sales</t>
  </si>
  <si>
    <t>currentYear_debt_long_term / (currentYear_debt_long_term + currentYear_equity)</t>
  </si>
  <si>
    <t>currentYear_debt_long_term / currentYear_equity</t>
  </si>
  <si>
    <t>currentYear_liabilities_total / currentYear_assets_total</t>
  </si>
  <si>
    <t>INC_ebit / INC_interest_expense</t>
  </si>
  <si>
    <t>(INC_ebit + INC_depreciation) / INC_interest_expense</t>
  </si>
  <si>
    <t>INC_net / currentYear_after_tax_operating_income</t>
  </si>
  <si>
    <t>currentYear_assets_total / currentYear_equity</t>
  </si>
  <si>
    <t>currentYear_working_capital_net / currentYear_assets_total</t>
  </si>
  <si>
    <t>currentYear_assets_current / currentYear_liabilities_current</t>
  </si>
  <si>
    <t>currentYear_cash_marketable_securities / currentYear_liabilities_current</t>
  </si>
  <si>
    <t>RATIO_asset_turnover</t>
  </si>
  <si>
    <t>RATIO_operating_profit_margin</t>
  </si>
  <si>
    <t>RATIO_debt_burden</t>
  </si>
  <si>
    <t>RATIO_leverage</t>
  </si>
  <si>
    <t>Quick ratio</t>
  </si>
  <si>
    <t>RATIO_asset_turnover x RATIO_operating_profit_margin</t>
  </si>
  <si>
    <r>
      <rPr>
        <sz val="9"/>
        <color theme="0" tint="-0.34998626667073579"/>
        <rFont val="Aptos Narrow"/>
        <family val="2"/>
      </rPr>
      <t>→</t>
    </r>
    <r>
      <rPr>
        <sz val="9"/>
        <color theme="0" tint="-0.34998626667073579"/>
        <rFont val="Open Sans"/>
        <family val="2"/>
      </rPr>
      <t xml:space="preserve"> from Efficiency section</t>
    </r>
  </si>
  <si>
    <t>RATIO_leverage x RATIO_asset_turnover x RATIO_operating_profit_margin x RATIO_debt_burden</t>
  </si>
  <si>
    <r>
      <rPr>
        <sz val="9"/>
        <color theme="0" tint="-0.34998626667073579"/>
        <rFont val="Aptos Narrow"/>
        <family val="2"/>
      </rPr>
      <t>→</t>
    </r>
    <r>
      <rPr>
        <sz val="9"/>
        <color theme="0" tint="-0.34998626667073579"/>
        <rFont val="Open Sans"/>
        <family val="2"/>
      </rPr>
      <t xml:space="preserve"> from Leverage section</t>
    </r>
  </si>
  <si>
    <t>Color Key:</t>
  </si>
  <si>
    <t>Blue = Assumptions (analyst inputs)</t>
  </si>
  <si>
    <t>Green = Data inputs (from financials)</t>
  </si>
  <si>
    <t>Yellow = Student formula output cells</t>
  </si>
  <si>
    <t>Notes &amp; Assumptions — Apple Inc. (AAPL)</t>
  </si>
  <si>
    <t>Company:</t>
  </si>
  <si>
    <t>Ticker:</t>
  </si>
  <si>
    <t>Industry:</t>
  </si>
  <si>
    <t>Fiscal Year (current):</t>
  </si>
  <si>
    <t>Fiscal Year (prior):</t>
  </si>
  <si>
    <t>Data Source:</t>
  </si>
  <si>
    <t>Units:</t>
  </si>
  <si>
    <t>Tax Rate:</t>
  </si>
  <si>
    <t>Cost of Capital:</t>
  </si>
  <si>
    <t>Share Price:</t>
  </si>
  <si>
    <t>Shares Outstanding:</t>
  </si>
  <si>
    <t>BUS-314 Project Use:</t>
  </si>
  <si>
    <t>Stage 2 Task:</t>
  </si>
  <si>
    <t>Stage 3 Task:</t>
  </si>
  <si>
    <t>Stage 4 Task:</t>
  </si>
  <si>
    <t>AI Usage:</t>
  </si>
  <si>
    <t>Apple Inc.</t>
  </si>
  <si>
    <t>AAPL</t>
  </si>
  <si>
    <t>Technology - Consumer Electronics &amp; Software</t>
  </si>
  <si>
    <t>Apple 10-K FY2024, SEC EDGAR</t>
  </si>
  <si>
    <t>All figures in millions of US dollars otherwise noted.</t>
  </si>
  <si>
    <t>24.1% - use as analyst assumption (adjust to effective rate if preferred)</t>
  </si>
  <si>
    <t>9.0% - estimated WACC; students may refine using CAPM + class methodology</t>
  </si>
  <si>
    <t>$226.51 - end-of-fiscal-year closing price</t>
  </si>
  <si>
    <t>15,24M shares</t>
  </si>
  <si>
    <t>This workbook provides real financial statement data for the Accounting &amp; Performance Ratios project.</t>
  </si>
  <si>
    <t>Complete the Ratios tab by entering formulas using the named ranges shown in column D.</t>
  </si>
  <si>
    <t>Document your model in a Technical Specification using the template-spec.md template.</t>
  </si>
  <si>
    <t>Interpret results and write an executive memo with strategic recommendations.</t>
  </si>
  <si>
    <t>Claude was used to generate and refine the memo from stage 1, as well as to pull the data from the "Apple 10-K FY2024, SEC EDGAR" and populate the template for this spreadsheet.</t>
  </si>
  <si>
    <t>(currentYear_cash_marketable_securities + BAL_receivables_2024) / currentYear_liabilities_current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</si>
</sst>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0.0%"/>
    <numFmt numFmtId="165" formatCode="0.000"/>
    <numFmt numFmtId="166" formatCode="#,##0.0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Open Sans"/>
      <family val="2"/>
    </font>
    <font>
      <sz val="8"/>
      <color theme="1"/>
      <name val="Open Sans"/>
      <family val="2"/>
    </font>
    <font>
      <sz val="10"/>
      <color theme="0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9"/>
      <color theme="1"/>
      <name val="Open Sans"/>
      <family val="2"/>
    </font>
    <font>
      <b/>
      <sz val="9"/>
      <color theme="3" tint="9.9978637043366805E-2"/>
      <name val="Open Sans"/>
      <family val="2"/>
    </font>
    <font>
      <b/>
      <sz val="9"/>
      <color theme="0"/>
      <name val="Open Sans"/>
      <family val="2"/>
    </font>
    <font>
      <b/>
      <sz val="13"/>
      <color theme="3" tint="9.9978637043366805E-2"/>
      <name val="Open Sans"/>
      <family val="2"/>
    </font>
    <font>
      <sz val="8"/>
      <color theme="2" tint="-0.499984740745262"/>
      <name val="Open Sans"/>
      <family val="2"/>
    </font>
    <font>
      <i/>
      <sz val="9"/>
      <color theme="2" tint="-0.499984740745262"/>
      <name val="Open Sans"/>
      <family val="2"/>
    </font>
    <font>
      <sz val="10"/>
      <color rgb="FF0070C0"/>
      <name val="Open Sans"/>
      <family val="2"/>
    </font>
    <font>
      <sz val="10"/>
      <color theme="0" tint="-0.34998626667073579"/>
      <name val="Open Sans"/>
      <family val="2"/>
    </font>
    <font>
      <sz val="8"/>
      <color theme="0" tint="-0.34998626667073579"/>
      <name val="Open Sans"/>
      <family val="2"/>
    </font>
    <font>
      <sz val="9"/>
      <color rgb="FF0070C0"/>
      <name val="Open Sans"/>
      <family val="2"/>
    </font>
    <font>
      <sz val="9"/>
      <color theme="0" tint="-0.34998626667073579"/>
      <name val="Open Sans"/>
      <family val="2"/>
    </font>
    <font>
      <sz val="9"/>
      <color theme="3" tint="9.9978637043366805E-2"/>
      <name val="Open Sans"/>
      <family val="2"/>
    </font>
    <font>
      <sz val="9"/>
      <color theme="0"/>
      <name val="Open Sans"/>
      <family val="2"/>
    </font>
    <font>
      <sz val="9"/>
      <color theme="0" tint="-0.34998626667073579"/>
      <name val="Aptos Narrow"/>
      <family val="2"/>
    </font>
    <font>
      <b/>
      <sz val="9"/>
      <name val="Open Sans"/>
      <family val="2"/>
    </font>
    <font>
      <sz val="9"/>
      <name val="Open Sans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6" fillId="0" borderId="0" xfId="0" applyFont="1"/>
    <xf numFmtId="0" fontId="10" fillId="0" borderId="0" xfId="0" applyFont="1"/>
    <xf numFmtId="0" fontId="5" fillId="3" borderId="0" xfId="0" applyFont="1" applyFill="1"/>
    <xf numFmtId="0" fontId="6" fillId="4" borderId="0" xfId="0" applyFont="1" applyFill="1"/>
    <xf numFmtId="0" fontId="4" fillId="3" borderId="0" xfId="0" applyFont="1" applyFill="1"/>
    <xf numFmtId="3" fontId="6" fillId="5" borderId="1" xfId="0" applyNumberFormat="1" applyFont="1" applyFill="1" applyBorder="1"/>
    <xf numFmtId="0" fontId="11" fillId="0" borderId="0" xfId="0" applyFont="1"/>
    <xf numFmtId="0" fontId="12" fillId="0" borderId="0" xfId="0" applyFont="1"/>
    <xf numFmtId="0" fontId="2" fillId="4" borderId="0" xfId="0" applyFont="1" applyFill="1"/>
    <xf numFmtId="3" fontId="5" fillId="2" borderId="2" xfId="0" applyNumberFormat="1" applyFont="1" applyFill="1" applyBorder="1"/>
    <xf numFmtId="3" fontId="12" fillId="0" borderId="0" xfId="0" applyNumberFormat="1" applyFont="1"/>
    <xf numFmtId="3" fontId="13" fillId="6" borderId="1" xfId="0" applyNumberFormat="1" applyFont="1" applyFill="1" applyBorder="1"/>
    <xf numFmtId="41" fontId="13" fillId="6" borderId="1" xfId="0" applyNumberFormat="1" applyFont="1" applyFill="1" applyBorder="1" applyAlignment="1">
      <alignment horizontal="right"/>
    </xf>
    <xf numFmtId="3" fontId="13" fillId="5" borderId="1" xfId="0" applyNumberFormat="1" applyFont="1" applyFill="1" applyBorder="1"/>
    <xf numFmtId="37" fontId="13" fillId="6" borderId="1" xfId="0" applyNumberFormat="1" applyFont="1" applyFill="1" applyBorder="1"/>
    <xf numFmtId="0" fontId="5" fillId="2" borderId="0" xfId="0" applyFont="1" applyFill="1" applyAlignment="1">
      <alignment horizontal="center"/>
    </xf>
    <xf numFmtId="3" fontId="2" fillId="5" borderId="0" xfId="0" applyNumberFormat="1" applyFont="1" applyFill="1"/>
    <xf numFmtId="3" fontId="6" fillId="5" borderId="0" xfId="0" applyNumberFormat="1" applyFont="1" applyFill="1"/>
    <xf numFmtId="3" fontId="13" fillId="6" borderId="0" xfId="0" applyNumberFormat="1" applyFont="1" applyFill="1"/>
    <xf numFmtId="164" fontId="2" fillId="7" borderId="0" xfId="1" applyNumberFormat="1" applyFont="1" applyFill="1"/>
    <xf numFmtId="164" fontId="2" fillId="7" borderId="0" xfId="0" applyNumberFormat="1" applyFont="1" applyFill="1"/>
    <xf numFmtId="37" fontId="2" fillId="0" borderId="0" xfId="0" applyNumberFormat="1" applyFont="1"/>
    <xf numFmtId="37" fontId="5" fillId="2" borderId="0" xfId="0" applyNumberFormat="1" applyFont="1" applyFill="1"/>
    <xf numFmtId="37" fontId="4" fillId="3" borderId="0" xfId="0" applyNumberFormat="1" applyFont="1" applyFill="1"/>
    <xf numFmtId="37" fontId="13" fillId="6" borderId="0" xfId="0" applyNumberFormat="1" applyFont="1" applyFill="1"/>
    <xf numFmtId="37" fontId="2" fillId="5" borderId="0" xfId="0" applyNumberFormat="1" applyFont="1" applyFill="1"/>
    <xf numFmtId="0" fontId="14" fillId="0" borderId="0" xfId="0" applyFont="1"/>
    <xf numFmtId="0" fontId="15" fillId="0" borderId="0" xfId="0" applyFont="1"/>
    <xf numFmtId="0" fontId="7" fillId="0" borderId="0" xfId="0" applyFont="1"/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16" fillId="4" borderId="0" xfId="0" applyFont="1" applyFill="1"/>
    <xf numFmtId="0" fontId="17" fillId="0" borderId="0" xfId="0" applyFont="1"/>
    <xf numFmtId="0" fontId="18" fillId="0" borderId="0" xfId="0" applyFont="1"/>
    <xf numFmtId="3" fontId="16" fillId="4" borderId="0" xfId="0" applyNumberFormat="1" applyFont="1" applyFill="1"/>
    <xf numFmtId="4" fontId="7" fillId="5" borderId="0" xfId="0" applyNumberFormat="1" applyFont="1" applyFill="1"/>
    <xf numFmtId="3" fontId="7" fillId="5" borderId="0" xfId="0" applyNumberFormat="1" applyFont="1" applyFill="1"/>
    <xf numFmtId="2" fontId="7" fillId="5" borderId="0" xfId="0" applyNumberFormat="1" applyFont="1" applyFill="1"/>
    <xf numFmtId="0" fontId="9" fillId="3" borderId="0" xfId="0" applyFont="1" applyFill="1"/>
    <xf numFmtId="0" fontId="19" fillId="3" borderId="0" xfId="0" applyFont="1" applyFill="1"/>
    <xf numFmtId="165" fontId="7" fillId="0" borderId="0" xfId="0" applyNumberFormat="1" applyFont="1"/>
    <xf numFmtId="0" fontId="21" fillId="0" borderId="0" xfId="0" applyFont="1"/>
    <xf numFmtId="165" fontId="7" fillId="8" borderId="3" xfId="0" applyNumberFormat="1" applyFont="1" applyFill="1" applyBorder="1"/>
    <xf numFmtId="0" fontId="22" fillId="4" borderId="3" xfId="0" applyFont="1" applyFill="1" applyBorder="1"/>
    <xf numFmtId="0" fontId="22" fillId="5" borderId="3" xfId="0" applyFont="1" applyFill="1" applyBorder="1"/>
    <xf numFmtId="0" fontId="22" fillId="8" borderId="3" xfId="0" applyFont="1" applyFill="1" applyBorder="1"/>
    <xf numFmtId="166" fontId="7" fillId="8" borderId="3" xfId="0" applyNumberFormat="1" applyFont="1" applyFill="1" applyBorder="1"/>
    <xf numFmtId="1" fontId="16" fillId="4" borderId="0" xfId="0" applyNumberFormat="1" applyFont="1" applyFill="1"/>
    <xf numFmtId="0" fontId="7" fillId="0" borderId="0" xfId="0" applyFont="1" applyAlignment="1">
      <alignment vertical="top"/>
    </xf>
    <xf numFmtId="0" fontId="7" fillId="0" borderId="0" xfId="0" applyFont="1" applyAlignment="1">
      <alignment wrapText="1"/>
    </xf>
    <xf numFmtId="0" fontId="10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18" fillId="0" borderId="0" xfId="0" applyFont="1" applyAlignment="1">
      <alignment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360B-AB35-4501-8BA0-00E6B1DE92DC}">
  <dimension ref="B1:H22"/>
  <sheetViews>
    <sheetView showGridLines="0" workbookViewId="0">
      <selection activeCell="C6" sqref="C6"/>
    </sheetView>
  </sheetViews>
  <sheetFormatPr defaultRowHeight="14.5" x14ac:dyDescent="0.4"/>
  <cols>
    <col min="1" max="1" width="1.453125" style="1" customWidth="1"/>
    <col min="2" max="2" width="44.7265625" style="1" bestFit="1" customWidth="1"/>
    <col min="3" max="3" width="18.36328125" style="1" bestFit="1" customWidth="1"/>
    <col min="4" max="4" width="18.453125" style="1" bestFit="1" customWidth="1"/>
    <col min="5" max="5" width="8.7265625" style="1"/>
    <col min="6" max="6" width="31.7265625" style="1" bestFit="1" customWidth="1"/>
    <col min="7" max="8" width="19.54296875" style="1" bestFit="1" customWidth="1"/>
    <col min="9" max="16384" width="8.7265625" style="1"/>
  </cols>
  <sheetData>
    <row r="1" spans="2:8" ht="19.5" x14ac:dyDescent="0.55000000000000004">
      <c r="B1" s="6" t="s">
        <v>0</v>
      </c>
    </row>
    <row r="2" spans="2:8" s="5" customFormat="1" x14ac:dyDescent="0.4">
      <c r="B2" s="4" t="s">
        <v>1</v>
      </c>
      <c r="C2" s="4" t="s">
        <v>2</v>
      </c>
      <c r="D2" s="4" t="s">
        <v>3</v>
      </c>
      <c r="F2" s="4" t="s">
        <v>20</v>
      </c>
      <c r="G2" s="4" t="s">
        <v>33</v>
      </c>
      <c r="H2" s="4" t="s">
        <v>34</v>
      </c>
    </row>
    <row r="3" spans="2:8" x14ac:dyDescent="0.4">
      <c r="B3" s="11" t="s">
        <v>4</v>
      </c>
      <c r="F3" s="2" t="s">
        <v>4</v>
      </c>
    </row>
    <row r="4" spans="2:8" s="5" customFormat="1" x14ac:dyDescent="0.4">
      <c r="B4" s="7" t="s">
        <v>5</v>
      </c>
      <c r="C4" s="7"/>
      <c r="D4" s="7"/>
      <c r="F4" s="7" t="s">
        <v>21</v>
      </c>
      <c r="G4" s="7"/>
      <c r="H4" s="7"/>
    </row>
    <row r="5" spans="2:8" x14ac:dyDescent="0.4">
      <c r="B5" s="1" t="s">
        <v>7</v>
      </c>
      <c r="C5" s="16">
        <v>65171</v>
      </c>
      <c r="D5" s="16">
        <v>61555</v>
      </c>
      <c r="F5" s="1" t="s">
        <v>22</v>
      </c>
      <c r="G5" s="16">
        <v>10912</v>
      </c>
      <c r="H5" s="16">
        <v>9822</v>
      </c>
    </row>
    <row r="6" spans="2:8" x14ac:dyDescent="0.4">
      <c r="B6" s="1" t="s">
        <v>8</v>
      </c>
      <c r="C6" s="16">
        <v>33410</v>
      </c>
      <c r="D6" s="16">
        <v>29508</v>
      </c>
      <c r="F6" s="1" t="s">
        <v>23</v>
      </c>
      <c r="G6" s="16">
        <v>68960</v>
      </c>
      <c r="H6" s="16">
        <v>62611</v>
      </c>
    </row>
    <row r="7" spans="2:8" x14ac:dyDescent="0.4">
      <c r="B7" s="1" t="s">
        <v>9</v>
      </c>
      <c r="C7" s="16">
        <v>7286</v>
      </c>
      <c r="D7" s="16">
        <v>6331</v>
      </c>
      <c r="F7" s="1" t="s">
        <v>24</v>
      </c>
      <c r="G7" s="16">
        <v>96520</v>
      </c>
      <c r="H7" s="16">
        <v>72875</v>
      </c>
    </row>
    <row r="8" spans="2:8" x14ac:dyDescent="0.4">
      <c r="B8" s="1" t="s">
        <v>10</v>
      </c>
      <c r="C8" s="16">
        <v>47120</v>
      </c>
      <c r="D8" s="16">
        <v>46172</v>
      </c>
      <c r="F8" s="8" t="s">
        <v>25</v>
      </c>
      <c r="G8" s="10">
        <f>SUM(G5:G7)</f>
        <v>176392</v>
      </c>
      <c r="H8" s="10">
        <f>SUM(H5:H7)</f>
        <v>145308</v>
      </c>
    </row>
    <row r="9" spans="2:8" s="5" customFormat="1" x14ac:dyDescent="0.4">
      <c r="B9" s="8" t="s">
        <v>11</v>
      </c>
      <c r="C9" s="10">
        <f>SUM(C5:C8)</f>
        <v>152987</v>
      </c>
      <c r="D9" s="10">
        <f>SUM(D5:D8)</f>
        <v>143566</v>
      </c>
    </row>
    <row r="10" spans="2:8" x14ac:dyDescent="0.4">
      <c r="F10" s="1" t="s">
        <v>26</v>
      </c>
      <c r="G10" s="16">
        <v>85750</v>
      </c>
      <c r="H10" s="16">
        <v>95281</v>
      </c>
    </row>
    <row r="11" spans="2:8" x14ac:dyDescent="0.4">
      <c r="B11" s="7" t="s">
        <v>6</v>
      </c>
      <c r="C11" s="9"/>
      <c r="D11" s="9"/>
      <c r="F11" s="1" t="s">
        <v>27</v>
      </c>
      <c r="G11" s="16">
        <v>45888</v>
      </c>
      <c r="H11" s="16">
        <v>49848</v>
      </c>
    </row>
    <row r="12" spans="2:8" x14ac:dyDescent="0.4">
      <c r="B12" s="1" t="s">
        <v>12</v>
      </c>
      <c r="C12" s="16">
        <v>119128</v>
      </c>
      <c r="D12" s="16">
        <v>109528</v>
      </c>
    </row>
    <row r="13" spans="2:8" x14ac:dyDescent="0.4">
      <c r="B13" s="1" t="s">
        <v>13</v>
      </c>
      <c r="C13" s="16">
        <v>73448</v>
      </c>
      <c r="D13" s="16">
        <v>65813</v>
      </c>
      <c r="F13" s="8" t="s">
        <v>28</v>
      </c>
      <c r="G13" s="10">
        <f>G8+G10+G11</f>
        <v>308030</v>
      </c>
      <c r="H13" s="10">
        <f>H8+H10+H11</f>
        <v>290437</v>
      </c>
    </row>
    <row r="14" spans="2:8" x14ac:dyDescent="0.4">
      <c r="B14" s="8" t="s">
        <v>14</v>
      </c>
      <c r="C14" s="10">
        <f>C12-C13</f>
        <v>45680</v>
      </c>
      <c r="D14" s="10">
        <f>D12-D13</f>
        <v>43715</v>
      </c>
    </row>
    <row r="15" spans="2:8" x14ac:dyDescent="0.4">
      <c r="F15" s="7" t="s">
        <v>29</v>
      </c>
      <c r="G15" s="9"/>
      <c r="H15" s="9"/>
    </row>
    <row r="16" spans="2:8" x14ac:dyDescent="0.4">
      <c r="B16" s="7" t="s">
        <v>15</v>
      </c>
      <c r="C16" s="7"/>
      <c r="D16" s="7"/>
      <c r="F16" s="1" t="s">
        <v>30</v>
      </c>
      <c r="G16" s="16">
        <v>83276</v>
      </c>
      <c r="H16" s="16">
        <v>73812</v>
      </c>
    </row>
    <row r="17" spans="2:8" x14ac:dyDescent="0.4">
      <c r="B17" s="1" t="s">
        <v>16</v>
      </c>
      <c r="C17" s="17">
        <v>0</v>
      </c>
      <c r="D17" s="17">
        <v>0</v>
      </c>
      <c r="F17" s="1" t="s">
        <v>31</v>
      </c>
      <c r="G17" s="19">
        <v>-26326</v>
      </c>
      <c r="H17" s="19">
        <v>-11666</v>
      </c>
    </row>
    <row r="18" spans="2:8" x14ac:dyDescent="0.4">
      <c r="B18" s="1" t="s">
        <v>17</v>
      </c>
      <c r="C18" s="18">
        <f>G20-C9-C14-C17</f>
        <v>166313</v>
      </c>
      <c r="D18" s="18">
        <f>H20-D9-D14-D17</f>
        <v>165302</v>
      </c>
      <c r="F18" s="13" t="s">
        <v>32</v>
      </c>
      <c r="G18" s="10">
        <f>SUM(G16:G17)</f>
        <v>56950</v>
      </c>
      <c r="H18" s="10">
        <f>SUM(H16:H17)</f>
        <v>62146</v>
      </c>
    </row>
    <row r="20" spans="2:8" x14ac:dyDescent="0.4">
      <c r="B20" s="3"/>
      <c r="C20" s="14">
        <f>C9+C14+C18</f>
        <v>364980</v>
      </c>
      <c r="D20" s="14">
        <f>D9+D14+D18</f>
        <v>352583</v>
      </c>
      <c r="F20" s="3"/>
      <c r="G20" s="14">
        <f>G13+G18</f>
        <v>364980</v>
      </c>
      <c r="H20" s="14">
        <f>H13+H18</f>
        <v>352583</v>
      </c>
    </row>
    <row r="21" spans="2:8" x14ac:dyDescent="0.4">
      <c r="B21" s="12" t="s">
        <v>18</v>
      </c>
      <c r="C21" s="15">
        <f>C20-G20</f>
        <v>0</v>
      </c>
    </row>
    <row r="22" spans="2:8" x14ac:dyDescent="0.4">
      <c r="B22" s="1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C9021-7758-47D5-BE99-1980D5C4584E}">
  <dimension ref="B1:D21"/>
  <sheetViews>
    <sheetView showGridLines="0" topLeftCell="A2" workbookViewId="0">
      <selection activeCell="C17" sqref="C17"/>
    </sheetView>
  </sheetViews>
  <sheetFormatPr defaultRowHeight="14.5" x14ac:dyDescent="0.35"/>
  <cols>
    <col min="1" max="1" width="2.7265625" customWidth="1"/>
    <col min="2" max="2" width="47" bestFit="1" customWidth="1"/>
    <col min="3" max="3" width="19.1796875" bestFit="1" customWidth="1"/>
    <col min="4" max="4" width="9.26953125" bestFit="1" customWidth="1"/>
  </cols>
  <sheetData>
    <row r="1" spans="2:4" ht="19.5" x14ac:dyDescent="0.55000000000000004">
      <c r="B1" s="6" t="s">
        <v>35</v>
      </c>
    </row>
    <row r="2" spans="2:4" ht="15" x14ac:dyDescent="0.4">
      <c r="B2" s="20" t="s">
        <v>36</v>
      </c>
      <c r="C2" s="4" t="s">
        <v>33</v>
      </c>
      <c r="D2" s="4" t="s">
        <v>50</v>
      </c>
    </row>
    <row r="3" spans="2:4" ht="15" x14ac:dyDescent="0.4">
      <c r="B3" s="1" t="s">
        <v>4</v>
      </c>
      <c r="C3" s="1"/>
      <c r="D3" s="1"/>
    </row>
    <row r="4" spans="2:4" ht="15" x14ac:dyDescent="0.4">
      <c r="B4" s="1" t="s">
        <v>37</v>
      </c>
      <c r="C4" s="23">
        <v>391035</v>
      </c>
      <c r="D4" s="24">
        <f>C4/C4</f>
        <v>1</v>
      </c>
    </row>
    <row r="5" spans="2:4" ht="15" x14ac:dyDescent="0.4">
      <c r="B5" s="1" t="s">
        <v>38</v>
      </c>
      <c r="C5" s="23">
        <v>210352</v>
      </c>
      <c r="D5" s="24">
        <f>C5/C4</f>
        <v>0.53793650184766073</v>
      </c>
    </row>
    <row r="6" spans="2:4" ht="15" x14ac:dyDescent="0.4">
      <c r="B6" s="1" t="s">
        <v>39</v>
      </c>
      <c r="C6" s="23">
        <v>26097</v>
      </c>
      <c r="D6" s="24">
        <f>C6/C4</f>
        <v>6.6738271510222866E-2</v>
      </c>
    </row>
    <row r="7" spans="2:4" ht="15" x14ac:dyDescent="0.4">
      <c r="B7" s="1" t="s">
        <v>40</v>
      </c>
      <c r="C7" s="23">
        <v>11445</v>
      </c>
      <c r="D7" s="24">
        <f>C7/C4</f>
        <v>2.9268479803598143E-2</v>
      </c>
    </row>
    <row r="8" spans="2:4" ht="15" x14ac:dyDescent="0.4">
      <c r="B8" s="8" t="s">
        <v>41</v>
      </c>
      <c r="C8" s="22">
        <f>C4-SUM(C5:C7)</f>
        <v>143141</v>
      </c>
      <c r="D8" s="24">
        <f>C8/C4</f>
        <v>0.3660567468385183</v>
      </c>
    </row>
    <row r="9" spans="2:4" ht="15" x14ac:dyDescent="0.4">
      <c r="B9" s="1"/>
      <c r="C9" s="1"/>
      <c r="D9" s="1"/>
    </row>
    <row r="10" spans="2:4" ht="15" x14ac:dyDescent="0.4">
      <c r="B10" s="1" t="s">
        <v>42</v>
      </c>
      <c r="C10" s="23">
        <v>3764</v>
      </c>
      <c r="D10" s="24">
        <f>C10/C4</f>
        <v>9.6257368266267733E-3</v>
      </c>
    </row>
    <row r="11" spans="2:4" ht="15" x14ac:dyDescent="0.4">
      <c r="B11" s="1" t="s">
        <v>43</v>
      </c>
      <c r="C11" s="23">
        <v>3931</v>
      </c>
      <c r="D11" s="24">
        <f>C11/C4</f>
        <v>1.00528085721227E-2</v>
      </c>
    </row>
    <row r="12" spans="2:4" ht="15" x14ac:dyDescent="0.4">
      <c r="B12" s="8" t="s">
        <v>44</v>
      </c>
      <c r="C12" s="21">
        <f>C8+C10-C11</f>
        <v>142974</v>
      </c>
      <c r="D12" s="24">
        <f>C12/C4</f>
        <v>0.36562967509302235</v>
      </c>
    </row>
    <row r="13" spans="2:4" ht="15" x14ac:dyDescent="0.4">
      <c r="B13" s="1"/>
      <c r="C13" s="1"/>
      <c r="D13" s="1"/>
    </row>
    <row r="14" spans="2:4" ht="15" x14ac:dyDescent="0.4">
      <c r="B14" s="1" t="s">
        <v>45</v>
      </c>
      <c r="C14" s="23">
        <v>29749</v>
      </c>
      <c r="D14" s="24">
        <f>C14/C4</f>
        <v>7.6077588962624829E-2</v>
      </c>
    </row>
    <row r="15" spans="2:4" ht="15" x14ac:dyDescent="0.4">
      <c r="B15" s="8" t="s">
        <v>46</v>
      </c>
      <c r="C15" s="21">
        <f>C12-C14</f>
        <v>113225</v>
      </c>
      <c r="D15" s="24">
        <f>C15/C4</f>
        <v>0.28955208613039751</v>
      </c>
    </row>
    <row r="16" spans="2:4" ht="15" x14ac:dyDescent="0.4">
      <c r="B16" s="1"/>
      <c r="C16" s="1"/>
      <c r="D16" s="1"/>
    </row>
    <row r="17" spans="2:4" ht="15" x14ac:dyDescent="0.4">
      <c r="B17" s="4" t="s">
        <v>47</v>
      </c>
      <c r="C17" s="21">
        <f>C15</f>
        <v>113225</v>
      </c>
      <c r="D17" s="25">
        <f>D15</f>
        <v>0.28955208613039751</v>
      </c>
    </row>
    <row r="18" spans="2:4" ht="15" x14ac:dyDescent="0.4">
      <c r="B18" s="1" t="s">
        <v>48</v>
      </c>
      <c r="C18" s="23">
        <v>15234</v>
      </c>
      <c r="D18" s="24">
        <f>C18/C4</f>
        <v>3.8958149526257244E-2</v>
      </c>
    </row>
    <row r="19" spans="2:4" ht="15" x14ac:dyDescent="0.4">
      <c r="B19" s="1" t="s">
        <v>49</v>
      </c>
      <c r="C19" s="21">
        <f>C15-C18</f>
        <v>97991</v>
      </c>
      <c r="D19" s="24">
        <f>C19/C4</f>
        <v>0.25059393660414031</v>
      </c>
    </row>
    <row r="21" spans="2:4" x14ac:dyDescent="0.35">
      <c r="B21" s="1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99584-6BED-4D54-ACF0-CD91F27A5702}">
  <dimension ref="B1:D32"/>
  <sheetViews>
    <sheetView showGridLines="0" topLeftCell="A9" workbookViewId="0">
      <selection activeCell="B32" sqref="B32"/>
    </sheetView>
  </sheetViews>
  <sheetFormatPr defaultRowHeight="14.5" x14ac:dyDescent="0.4"/>
  <cols>
    <col min="1" max="1" width="2.6328125" style="1" customWidth="1"/>
    <col min="2" max="2" width="50.1796875" style="1" bestFit="1" customWidth="1"/>
    <col min="3" max="3" width="19.1796875" style="26" bestFit="1" customWidth="1"/>
    <col min="4" max="4" width="17.81640625" style="1" bestFit="1" customWidth="1"/>
    <col min="5" max="16384" width="8.7265625" style="1"/>
  </cols>
  <sheetData>
    <row r="1" spans="2:4" ht="19.5" x14ac:dyDescent="0.55000000000000004">
      <c r="B1" s="6" t="s">
        <v>51</v>
      </c>
    </row>
    <row r="2" spans="2:4" x14ac:dyDescent="0.4">
      <c r="B2" s="20" t="s">
        <v>36</v>
      </c>
      <c r="C2" s="27" t="s">
        <v>33</v>
      </c>
      <c r="D2" s="4" t="s">
        <v>52</v>
      </c>
    </row>
    <row r="3" spans="2:4" x14ac:dyDescent="0.4">
      <c r="B3" s="32" t="s">
        <v>4</v>
      </c>
    </row>
    <row r="4" spans="2:4" x14ac:dyDescent="0.4">
      <c r="B4" s="7" t="s">
        <v>53</v>
      </c>
      <c r="C4" s="28"/>
      <c r="D4" s="9"/>
    </row>
    <row r="5" spans="2:4" x14ac:dyDescent="0.4">
      <c r="B5" s="1" t="s">
        <v>46</v>
      </c>
      <c r="C5" s="29">
        <f>'Income Statement'!C15</f>
        <v>113225</v>
      </c>
      <c r="D5" s="31" t="s">
        <v>76</v>
      </c>
    </row>
    <row r="6" spans="2:4" x14ac:dyDescent="0.4">
      <c r="B6" s="1" t="s">
        <v>54</v>
      </c>
      <c r="C6" s="29">
        <f>'Income Statement'!C7</f>
        <v>11445</v>
      </c>
      <c r="D6" s="31" t="s">
        <v>76</v>
      </c>
    </row>
    <row r="7" spans="2:4" x14ac:dyDescent="0.4">
      <c r="B7" s="1" t="s">
        <v>55</v>
      </c>
      <c r="C7" s="29"/>
      <c r="D7" s="31"/>
    </row>
    <row r="8" spans="2:4" x14ac:dyDescent="0.4">
      <c r="B8" s="1" t="s">
        <v>56</v>
      </c>
      <c r="C8" s="29">
        <f>'Balance Sheet'!D6-'Balance Sheet'!C6</f>
        <v>-3902</v>
      </c>
      <c r="D8" s="31" t="s">
        <v>77</v>
      </c>
    </row>
    <row r="9" spans="2:4" x14ac:dyDescent="0.4">
      <c r="B9" s="1" t="s">
        <v>57</v>
      </c>
      <c r="C9" s="29">
        <f>'Balance Sheet'!D7-'Balance Sheet'!C7</f>
        <v>-955</v>
      </c>
      <c r="D9" s="31" t="s">
        <v>77</v>
      </c>
    </row>
    <row r="10" spans="2:4" x14ac:dyDescent="0.4">
      <c r="B10" s="1" t="s">
        <v>58</v>
      </c>
      <c r="C10" s="29">
        <f>'Balance Sheet'!D8-'Balance Sheet'!C8</f>
        <v>-948</v>
      </c>
      <c r="D10" s="31" t="s">
        <v>77</v>
      </c>
    </row>
    <row r="11" spans="2:4" x14ac:dyDescent="0.4">
      <c r="B11" s="1" t="s">
        <v>59</v>
      </c>
      <c r="C11" s="29">
        <f>'Balance Sheet'!G6-'Balance Sheet'!H6</f>
        <v>6349</v>
      </c>
      <c r="D11" s="31" t="s">
        <v>77</v>
      </c>
    </row>
    <row r="12" spans="2:4" x14ac:dyDescent="0.4">
      <c r="B12" s="1" t="s">
        <v>60</v>
      </c>
      <c r="C12" s="29">
        <f>'Balance Sheet'!G7-'Balance Sheet'!H7</f>
        <v>23645</v>
      </c>
      <c r="D12" s="31" t="s">
        <v>77</v>
      </c>
    </row>
    <row r="13" spans="2:4" x14ac:dyDescent="0.4">
      <c r="B13" s="13" t="s">
        <v>61</v>
      </c>
      <c r="C13" s="30">
        <f>SUM(C8:C12)</f>
        <v>24189</v>
      </c>
    </row>
    <row r="14" spans="2:4" x14ac:dyDescent="0.4">
      <c r="B14" s="8" t="s">
        <v>62</v>
      </c>
      <c r="C14" s="30">
        <f>C5+C6+C13</f>
        <v>148859</v>
      </c>
    </row>
    <row r="15" spans="2:4" ht="5" customHeight="1" x14ac:dyDescent="0.4"/>
    <row r="16" spans="2:4" x14ac:dyDescent="0.4">
      <c r="B16" s="7" t="s">
        <v>63</v>
      </c>
      <c r="C16" s="28"/>
      <c r="D16" s="9"/>
    </row>
    <row r="17" spans="2:4" x14ac:dyDescent="0.4">
      <c r="B17" s="1" t="s">
        <v>64</v>
      </c>
      <c r="C17" s="29">
        <v>-9447</v>
      </c>
    </row>
    <row r="18" spans="2:4" x14ac:dyDescent="0.4">
      <c r="B18" s="1" t="s">
        <v>65</v>
      </c>
      <c r="C18" s="29">
        <v>13690</v>
      </c>
    </row>
    <row r="19" spans="2:4" x14ac:dyDescent="0.4">
      <c r="B19" s="1" t="s">
        <v>66</v>
      </c>
      <c r="C19" s="29">
        <v>-1308</v>
      </c>
    </row>
    <row r="20" spans="2:4" x14ac:dyDescent="0.4">
      <c r="B20" s="13" t="s">
        <v>67</v>
      </c>
      <c r="C20" s="30">
        <f>SUM(C17:C19)</f>
        <v>2935</v>
      </c>
    </row>
    <row r="21" spans="2:4" ht="5" customHeight="1" x14ac:dyDescent="0.4"/>
    <row r="22" spans="2:4" x14ac:dyDescent="0.4">
      <c r="B22" s="7" t="s">
        <v>68</v>
      </c>
      <c r="C22" s="28"/>
      <c r="D22" s="9"/>
    </row>
    <row r="23" spans="2:4" x14ac:dyDescent="0.4">
      <c r="B23" s="1" t="s">
        <v>69</v>
      </c>
      <c r="C23" s="29">
        <v>-9958</v>
      </c>
    </row>
    <row r="24" spans="2:4" x14ac:dyDescent="0.4">
      <c r="B24" s="1" t="s">
        <v>70</v>
      </c>
      <c r="C24" s="29">
        <v>3960</v>
      </c>
    </row>
    <row r="25" spans="2:4" x14ac:dyDescent="0.4">
      <c r="B25" s="1" t="s">
        <v>71</v>
      </c>
      <c r="C25" s="29">
        <v>-15234</v>
      </c>
    </row>
    <row r="26" spans="2:4" x14ac:dyDescent="0.4">
      <c r="B26" s="1" t="s">
        <v>72</v>
      </c>
      <c r="C26" s="29">
        <v>-94949</v>
      </c>
    </row>
    <row r="27" spans="2:4" x14ac:dyDescent="0.4">
      <c r="B27" s="1" t="s">
        <v>73</v>
      </c>
      <c r="C27" s="29">
        <v>-5802</v>
      </c>
    </row>
    <row r="28" spans="2:4" x14ac:dyDescent="0.4">
      <c r="B28" s="13" t="s">
        <v>74</v>
      </c>
      <c r="C28" s="30">
        <f>SUM(C23:C27)</f>
        <v>-121983</v>
      </c>
    </row>
    <row r="29" spans="2:4" ht="4.5" customHeight="1" x14ac:dyDescent="0.4"/>
    <row r="30" spans="2:4" x14ac:dyDescent="0.4">
      <c r="B30" s="13" t="s">
        <v>75</v>
      </c>
      <c r="C30" s="30">
        <f>C14+C20+C28</f>
        <v>29811</v>
      </c>
    </row>
    <row r="32" spans="2:4" x14ac:dyDescent="0.4">
      <c r="B32" s="3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011D1-F7BE-43D7-9E12-05F53F68E6F9}">
  <dimension ref="B1:E90"/>
  <sheetViews>
    <sheetView showGridLines="0" tabSelected="1" topLeftCell="A69" workbookViewId="0">
      <selection activeCell="C74" sqref="C74"/>
    </sheetView>
  </sheetViews>
  <sheetFormatPr defaultRowHeight="13" x14ac:dyDescent="0.35"/>
  <cols>
    <col min="1" max="1" width="3.36328125" style="33" customWidth="1"/>
    <col min="2" max="2" width="36.54296875" style="33" bestFit="1" customWidth="1"/>
    <col min="3" max="3" width="28.54296875" style="33" bestFit="1" customWidth="1"/>
    <col min="4" max="4" width="76.81640625" style="33" bestFit="1" customWidth="1"/>
    <col min="5" max="5" width="34.453125" style="33" bestFit="1" customWidth="1"/>
    <col min="6" max="16384" width="8.7265625" style="33"/>
  </cols>
  <sheetData>
    <row r="1" spans="2:5" ht="19.5" x14ac:dyDescent="0.55000000000000004">
      <c r="B1" s="6" t="s">
        <v>78</v>
      </c>
    </row>
    <row r="2" spans="2:5" x14ac:dyDescent="0.35">
      <c r="B2" s="34" t="s">
        <v>79</v>
      </c>
      <c r="C2" s="34" t="s">
        <v>80</v>
      </c>
      <c r="D2" s="34" t="s">
        <v>81</v>
      </c>
      <c r="E2" s="35" t="s">
        <v>98</v>
      </c>
    </row>
    <row r="3" spans="2:5" x14ac:dyDescent="0.35">
      <c r="B3" s="33" t="s">
        <v>82</v>
      </c>
      <c r="C3" s="36">
        <v>2024</v>
      </c>
      <c r="D3" s="37"/>
      <c r="E3" s="38" t="s">
        <v>99</v>
      </c>
    </row>
    <row r="4" spans="2:5" x14ac:dyDescent="0.35">
      <c r="B4" s="33" t="s">
        <v>83</v>
      </c>
      <c r="C4" s="36">
        <f>C3-1</f>
        <v>2023</v>
      </c>
      <c r="D4" s="37" t="s">
        <v>89</v>
      </c>
      <c r="E4" s="38" t="s">
        <v>100</v>
      </c>
    </row>
    <row r="5" spans="2:5" x14ac:dyDescent="0.35">
      <c r="B5" s="33" t="s">
        <v>84</v>
      </c>
      <c r="C5" s="52">
        <v>226.51</v>
      </c>
      <c r="D5" s="37"/>
      <c r="E5" s="38" t="s">
        <v>101</v>
      </c>
    </row>
    <row r="6" spans="2:5" x14ac:dyDescent="0.35">
      <c r="B6" s="33" t="s">
        <v>85</v>
      </c>
      <c r="C6" s="39">
        <v>15204</v>
      </c>
      <c r="D6" s="37"/>
      <c r="E6" s="38" t="s">
        <v>103</v>
      </c>
    </row>
    <row r="7" spans="2:5" x14ac:dyDescent="0.35">
      <c r="B7" s="33" t="s">
        <v>86</v>
      </c>
      <c r="C7" s="36">
        <v>0.09</v>
      </c>
      <c r="D7" s="37"/>
      <c r="E7" s="38" t="s">
        <v>104</v>
      </c>
    </row>
    <row r="8" spans="2:5" x14ac:dyDescent="0.35">
      <c r="B8" s="33" t="s">
        <v>87</v>
      </c>
      <c r="C8" s="36">
        <v>0.24099999999999999</v>
      </c>
      <c r="D8" s="37"/>
      <c r="E8" s="38" t="s">
        <v>105</v>
      </c>
    </row>
    <row r="9" spans="2:5" x14ac:dyDescent="0.35">
      <c r="B9" s="33" t="s">
        <v>88</v>
      </c>
      <c r="C9" s="40">
        <f>share_price*shares_outstanding</f>
        <v>3443858.04</v>
      </c>
      <c r="D9" s="37" t="s">
        <v>90</v>
      </c>
      <c r="E9" s="38" t="s">
        <v>102</v>
      </c>
    </row>
    <row r="10" spans="2:5" x14ac:dyDescent="0.35">
      <c r="D10" s="37"/>
      <c r="E10" s="38"/>
    </row>
    <row r="11" spans="2:5" x14ac:dyDescent="0.35">
      <c r="B11" s="43" t="s">
        <v>91</v>
      </c>
      <c r="C11" s="44"/>
      <c r="D11" s="44"/>
      <c r="E11" s="44"/>
    </row>
    <row r="12" spans="2:5" x14ac:dyDescent="0.35">
      <c r="B12" s="33" t="s">
        <v>92</v>
      </c>
      <c r="C12" s="41">
        <f>BAL_equity_shareholders_2023</f>
        <v>62146</v>
      </c>
      <c r="D12" s="37" t="s">
        <v>93</v>
      </c>
      <c r="E12" s="38" t="s">
        <v>106</v>
      </c>
    </row>
    <row r="13" spans="2:5" x14ac:dyDescent="0.35">
      <c r="B13" s="33" t="s">
        <v>111</v>
      </c>
      <c r="C13" s="41">
        <f>BAL_inventories_2023</f>
        <v>6331</v>
      </c>
      <c r="D13" s="37" t="s">
        <v>94</v>
      </c>
      <c r="E13" s="38" t="s">
        <v>107</v>
      </c>
    </row>
    <row r="14" spans="2:5" x14ac:dyDescent="0.35">
      <c r="B14" s="33" t="s">
        <v>112</v>
      </c>
      <c r="C14" s="41">
        <f>BAL_receivables_2023</f>
        <v>29508</v>
      </c>
      <c r="D14" s="37" t="s">
        <v>95</v>
      </c>
      <c r="E14" s="38" t="s">
        <v>108</v>
      </c>
    </row>
    <row r="15" spans="2:5" x14ac:dyDescent="0.35">
      <c r="B15" s="33" t="s">
        <v>113</v>
      </c>
      <c r="C15" s="41">
        <f>BAL_assets_total_2023</f>
        <v>352583</v>
      </c>
      <c r="D15" s="37" t="s">
        <v>96</v>
      </c>
      <c r="E15" s="38" t="s">
        <v>109</v>
      </c>
    </row>
    <row r="16" spans="2:5" x14ac:dyDescent="0.35">
      <c r="B16" s="33" t="s">
        <v>114</v>
      </c>
      <c r="C16" s="41">
        <f>BAL_debt_long_term_2023+BAL_equity_shareholders_2023</f>
        <v>157427</v>
      </c>
      <c r="D16" s="37" t="s">
        <v>97</v>
      </c>
      <c r="E16" s="38" t="s">
        <v>110</v>
      </c>
    </row>
    <row r="17" spans="2:5" x14ac:dyDescent="0.35">
      <c r="D17" s="37"/>
      <c r="E17" s="38"/>
    </row>
    <row r="18" spans="2:5" x14ac:dyDescent="0.35">
      <c r="B18" s="43" t="s">
        <v>115</v>
      </c>
      <c r="C18" s="44"/>
      <c r="D18" s="44"/>
      <c r="E18" s="44"/>
    </row>
    <row r="19" spans="2:5" x14ac:dyDescent="0.35">
      <c r="B19" s="33" t="s">
        <v>116</v>
      </c>
      <c r="C19" s="40" cm="1">
        <f t="array" ref="C19">INC_net+(1-tax_rate)*INC_interest_expense</f>
        <v>116208.629</v>
      </c>
      <c r="D19" s="37" t="s">
        <v>139</v>
      </c>
      <c r="E19" s="38" t="s">
        <v>145</v>
      </c>
    </row>
    <row r="20" spans="2:5" x14ac:dyDescent="0.35">
      <c r="B20" s="33" t="s">
        <v>117</v>
      </c>
      <c r="C20" s="40">
        <f>INC_sales/365</f>
        <v>1071.3287671232877</v>
      </c>
      <c r="D20" s="37" t="s">
        <v>140</v>
      </c>
      <c r="E20" s="38" t="s">
        <v>147</v>
      </c>
    </row>
    <row r="21" spans="2:5" x14ac:dyDescent="0.35">
      <c r="B21" s="33" t="s">
        <v>118</v>
      </c>
      <c r="C21" s="41">
        <f>BAL_equity_shareholders_2024</f>
        <v>56950</v>
      </c>
      <c r="D21" s="37" t="s">
        <v>141</v>
      </c>
      <c r="E21" s="38" t="s">
        <v>148</v>
      </c>
    </row>
    <row r="22" spans="2:5" x14ac:dyDescent="0.35">
      <c r="B22" s="33" t="s">
        <v>119</v>
      </c>
      <c r="C22" s="41">
        <f>BAL_cash_marketable_securities_2024</f>
        <v>65171</v>
      </c>
      <c r="D22" s="37" t="s">
        <v>133</v>
      </c>
      <c r="E22" s="38" t="s">
        <v>149</v>
      </c>
    </row>
    <row r="23" spans="2:5" x14ac:dyDescent="0.35">
      <c r="B23" s="33" t="s">
        <v>120</v>
      </c>
      <c r="C23" s="41">
        <f>BAL_assets_current_2024</f>
        <v>152987</v>
      </c>
      <c r="D23" s="37" t="s">
        <v>134</v>
      </c>
      <c r="E23" s="38" t="s">
        <v>150</v>
      </c>
    </row>
    <row r="24" spans="2:5" x14ac:dyDescent="0.35">
      <c r="B24" s="33" t="s">
        <v>121</v>
      </c>
      <c r="C24" s="41">
        <f>BAL_liabilities_current_2024</f>
        <v>176392</v>
      </c>
      <c r="D24" s="37" t="s">
        <v>135</v>
      </c>
      <c r="E24" s="38" t="s">
        <v>151</v>
      </c>
    </row>
    <row r="25" spans="2:5" x14ac:dyDescent="0.35">
      <c r="B25" s="33" t="s">
        <v>122</v>
      </c>
      <c r="C25" s="42">
        <f>INC_cost_goods_sold/365</f>
        <v>576.30684931506846</v>
      </c>
      <c r="D25" s="37" t="s">
        <v>136</v>
      </c>
      <c r="E25" s="38" t="s">
        <v>155</v>
      </c>
    </row>
    <row r="26" spans="2:5" x14ac:dyDescent="0.35">
      <c r="B26" s="33" t="s">
        <v>123</v>
      </c>
      <c r="C26" s="41">
        <f>BAL_debt_long_term_2024</f>
        <v>85750</v>
      </c>
      <c r="D26" s="37" t="s">
        <v>137</v>
      </c>
      <c r="E26" s="38" t="s">
        <v>152</v>
      </c>
    </row>
    <row r="27" spans="2:5" x14ac:dyDescent="0.35">
      <c r="B27" s="33" t="s">
        <v>124</v>
      </c>
      <c r="C27" s="41">
        <f>BAL_assets_current_2024-BAL_liabilities_current_2024</f>
        <v>-23405</v>
      </c>
      <c r="D27" s="37" t="s">
        <v>138</v>
      </c>
      <c r="E27" s="38" t="s">
        <v>156</v>
      </c>
    </row>
    <row r="28" spans="2:5" x14ac:dyDescent="0.35">
      <c r="B28" s="33" t="s">
        <v>125</v>
      </c>
      <c r="C28" s="41">
        <f>BAL_assets_total_2024</f>
        <v>364980</v>
      </c>
      <c r="D28" s="37" t="s">
        <v>142</v>
      </c>
      <c r="E28" s="38" t="s">
        <v>153</v>
      </c>
    </row>
    <row r="29" spans="2:5" x14ac:dyDescent="0.35">
      <c r="B29" s="33" t="s">
        <v>126</v>
      </c>
      <c r="C29" s="41">
        <f>BAL_debt_long_term_2024+BAL_equity_shareholders_2024</f>
        <v>142700</v>
      </c>
      <c r="D29" s="37" t="s">
        <v>143</v>
      </c>
      <c r="E29" s="38" t="s">
        <v>146</v>
      </c>
    </row>
    <row r="30" spans="2:5" x14ac:dyDescent="0.35">
      <c r="B30" s="33" t="s">
        <v>127</v>
      </c>
      <c r="C30" s="41">
        <f>BAL_liabilities_total_2024</f>
        <v>308030</v>
      </c>
      <c r="D30" s="37" t="s">
        <v>144</v>
      </c>
      <c r="E30" s="38" t="s">
        <v>154</v>
      </c>
    </row>
    <row r="31" spans="2:5" x14ac:dyDescent="0.35">
      <c r="D31" s="37"/>
      <c r="E31" s="38"/>
    </row>
    <row r="32" spans="2:5" x14ac:dyDescent="0.35">
      <c r="B32" s="43" t="s">
        <v>128</v>
      </c>
      <c r="C32" s="44"/>
      <c r="D32" s="44"/>
      <c r="E32" s="44"/>
    </row>
    <row r="33" spans="2:5" x14ac:dyDescent="0.35">
      <c r="B33" s="33" t="s">
        <v>129</v>
      </c>
      <c r="C33" s="41">
        <f>AVERAGE(startYear_equity,currentYear_equity)</f>
        <v>59548</v>
      </c>
      <c r="D33" s="37" t="s">
        <v>157</v>
      </c>
      <c r="E33" s="38" t="s">
        <v>161</v>
      </c>
    </row>
    <row r="34" spans="2:5" x14ac:dyDescent="0.35">
      <c r="B34" s="33" t="s">
        <v>130</v>
      </c>
      <c r="C34" s="41">
        <f>AVERAGE(startYear_total_assets,currentYear_assets_total)</f>
        <v>358781.5</v>
      </c>
      <c r="D34" s="37" t="s">
        <v>158</v>
      </c>
      <c r="E34" s="38" t="s">
        <v>162</v>
      </c>
    </row>
    <row r="35" spans="2:5" x14ac:dyDescent="0.35">
      <c r="B35" s="33" t="s">
        <v>131</v>
      </c>
      <c r="C35" s="41">
        <f>AVERAGE(startYear_total_capitalization,currentYear_total_capitalization)</f>
        <v>150063.5</v>
      </c>
      <c r="D35" s="37" t="s">
        <v>159</v>
      </c>
      <c r="E35" s="38" t="s">
        <v>163</v>
      </c>
    </row>
    <row r="36" spans="2:5" x14ac:dyDescent="0.35">
      <c r="B36" s="33" t="s">
        <v>132</v>
      </c>
      <c r="C36" s="41">
        <f>currentYear_debt_long_term+currentYear_equity</f>
        <v>142700</v>
      </c>
      <c r="D36" s="37" t="s">
        <v>160</v>
      </c>
      <c r="E36" s="38" t="s">
        <v>164</v>
      </c>
    </row>
    <row r="37" spans="2:5" x14ac:dyDescent="0.35">
      <c r="D37" s="37"/>
      <c r="E37" s="38"/>
    </row>
    <row r="38" spans="2:5" x14ac:dyDescent="0.35">
      <c r="B38" s="34" t="s">
        <v>165</v>
      </c>
      <c r="C38" s="34" t="s">
        <v>166</v>
      </c>
      <c r="D38" s="34" t="s">
        <v>167</v>
      </c>
      <c r="E38" s="34" t="s">
        <v>98</v>
      </c>
    </row>
    <row r="39" spans="2:5" x14ac:dyDescent="0.35">
      <c r="B39" s="43" t="s">
        <v>168</v>
      </c>
      <c r="C39" s="44"/>
      <c r="D39" s="44"/>
      <c r="E39" s="44"/>
    </row>
    <row r="40" spans="2:5" x14ac:dyDescent="0.35">
      <c r="B40" s="33" t="s">
        <v>169</v>
      </c>
      <c r="C40" s="51">
        <f>market_capitalization-currentYear_equity</f>
        <v>3386908.04</v>
      </c>
      <c r="D40" s="37" t="s">
        <v>206</v>
      </c>
      <c r="E40" s="38"/>
    </row>
    <row r="41" spans="2:5" x14ac:dyDescent="0.35">
      <c r="B41" s="33" t="s">
        <v>170</v>
      </c>
      <c r="C41" s="51">
        <f>market_capitalization/currentYear_equity</f>
        <v>60.471607374890255</v>
      </c>
      <c r="D41" s="37" t="s">
        <v>207</v>
      </c>
      <c r="E41" s="38"/>
    </row>
    <row r="42" spans="2:5" x14ac:dyDescent="0.35">
      <c r="B42" s="33" t="s">
        <v>171</v>
      </c>
      <c r="C42" s="51">
        <f>currentYear_after_tax_operating_income-(cost_capital*startYear_total_capitalization)</f>
        <v>102040.19899999999</v>
      </c>
      <c r="D42" s="37" t="s">
        <v>208</v>
      </c>
      <c r="E42" s="38"/>
    </row>
    <row r="43" spans="2:5" x14ac:dyDescent="0.35">
      <c r="D43" s="37"/>
      <c r="E43" s="38"/>
    </row>
    <row r="44" spans="2:5" x14ac:dyDescent="0.35">
      <c r="B44" s="43" t="s">
        <v>172</v>
      </c>
      <c r="C44" s="44"/>
      <c r="D44" s="44"/>
      <c r="E44" s="44"/>
    </row>
    <row r="45" spans="2:5" x14ac:dyDescent="0.35">
      <c r="B45" s="33" t="s">
        <v>173</v>
      </c>
      <c r="C45" s="47">
        <f>currentYear_after_tax_operating_income/startYear_total_assets</f>
        <v>0.32959226338195546</v>
      </c>
      <c r="D45" s="37" t="s">
        <v>209</v>
      </c>
      <c r="E45" s="38"/>
    </row>
    <row r="46" spans="2:5" x14ac:dyDescent="0.35">
      <c r="B46" s="33" t="s">
        <v>174</v>
      </c>
      <c r="C46" s="47">
        <f>currentYear_after_tax_operating_income/startYear_total_capitalization</f>
        <v>0.73817470319576695</v>
      </c>
      <c r="D46" s="37" t="s">
        <v>210</v>
      </c>
      <c r="E46" s="38"/>
    </row>
    <row r="47" spans="2:5" x14ac:dyDescent="0.35">
      <c r="B47" s="33" t="s">
        <v>175</v>
      </c>
      <c r="C47" s="47">
        <f>INC_net/startYear_equity</f>
        <v>1.8219193512052263</v>
      </c>
      <c r="D47" s="37" t="s">
        <v>211</v>
      </c>
      <c r="E47" s="38"/>
    </row>
    <row r="48" spans="2:5" x14ac:dyDescent="0.35">
      <c r="B48" s="33" t="s">
        <v>176</v>
      </c>
      <c r="C48" s="47">
        <f>currentYear_after_tax_operating_income/avg_total_assets</f>
        <v>0.32389805215709283</v>
      </c>
      <c r="D48" s="37" t="s">
        <v>212</v>
      </c>
      <c r="E48" s="38"/>
    </row>
    <row r="49" spans="2:5" x14ac:dyDescent="0.35">
      <c r="B49" s="33" t="s">
        <v>177</v>
      </c>
      <c r="C49" s="47">
        <f>currentYear_after_tax_operating_income/avg_total_capitalization</f>
        <v>0.7743963655385887</v>
      </c>
      <c r="D49" s="37" t="s">
        <v>213</v>
      </c>
      <c r="E49" s="38"/>
    </row>
    <row r="50" spans="2:5" x14ac:dyDescent="0.35">
      <c r="B50" s="33" t="s">
        <v>178</v>
      </c>
      <c r="C50" s="47">
        <f>INC_net/avg_equity</f>
        <v>1.9014072680862497</v>
      </c>
      <c r="D50" s="37" t="s">
        <v>214</v>
      </c>
      <c r="E50" s="38"/>
    </row>
    <row r="51" spans="2:5" x14ac:dyDescent="0.35">
      <c r="D51" s="37"/>
    </row>
    <row r="52" spans="2:5" x14ac:dyDescent="0.35">
      <c r="B52" s="43" t="s">
        <v>179</v>
      </c>
      <c r="C52" s="44"/>
      <c r="D52" s="44"/>
      <c r="E52" s="44"/>
    </row>
    <row r="53" spans="2:5" x14ac:dyDescent="0.35">
      <c r="B53" s="33" t="s">
        <v>180</v>
      </c>
      <c r="C53" s="47">
        <f>INC_sales/startYear_total_assets</f>
        <v>1.1090580090361701</v>
      </c>
      <c r="D53" s="37" t="s">
        <v>215</v>
      </c>
      <c r="E53" s="38" t="s">
        <v>232</v>
      </c>
    </row>
    <row r="54" spans="2:5" x14ac:dyDescent="0.35">
      <c r="B54" s="33" t="s">
        <v>181</v>
      </c>
      <c r="C54" s="47">
        <f>INC_sales/startYear_receivables</f>
        <v>13.251830012200081</v>
      </c>
      <c r="D54" s="37" t="s">
        <v>216</v>
      </c>
      <c r="E54" s="38"/>
    </row>
    <row r="55" spans="2:5" x14ac:dyDescent="0.35">
      <c r="B55" s="33" t="s">
        <v>182</v>
      </c>
      <c r="C55" s="47">
        <f>startYear_receivables/currentYear_daily_sales_average</f>
        <v>27.543365683378727</v>
      </c>
      <c r="D55" s="37" t="s">
        <v>217</v>
      </c>
      <c r="E55" s="38"/>
    </row>
    <row r="56" spans="2:5" x14ac:dyDescent="0.35">
      <c r="B56" s="33" t="s">
        <v>183</v>
      </c>
      <c r="C56" s="47" cm="1">
        <f t="array" ref="C56">INC_cost_goods_sold/startYear_inventory</f>
        <v>33.225714737008374</v>
      </c>
      <c r="D56" s="37" t="s">
        <v>218</v>
      </c>
      <c r="E56" s="38"/>
    </row>
    <row r="57" spans="2:5" x14ac:dyDescent="0.35">
      <c r="B57" s="33" t="s">
        <v>184</v>
      </c>
      <c r="C57" s="47">
        <f>startYear_inventory/currentYear_cost_goods_sold_daily</f>
        <v>10.985467216855557</v>
      </c>
      <c r="D57" s="37" t="s">
        <v>219</v>
      </c>
      <c r="E57" s="38"/>
    </row>
    <row r="58" spans="2:5" x14ac:dyDescent="0.35">
      <c r="B58" s="33" t="s">
        <v>185</v>
      </c>
      <c r="C58" s="47">
        <f>INC_net/INC_sales</f>
        <v>0.28955208613039751</v>
      </c>
      <c r="D58" s="37" t="s">
        <v>220</v>
      </c>
      <c r="E58" s="38"/>
    </row>
    <row r="59" spans="2:5" x14ac:dyDescent="0.35">
      <c r="B59" s="33" t="s">
        <v>186</v>
      </c>
      <c r="C59" s="47">
        <f>currentYear_after_tax_operating_income/INC_sales</f>
        <v>0.29718216783663864</v>
      </c>
      <c r="D59" s="37" t="s">
        <v>221</v>
      </c>
      <c r="E59" s="38" t="s">
        <v>233</v>
      </c>
    </row>
    <row r="60" spans="2:5" x14ac:dyDescent="0.35">
      <c r="D60" s="37"/>
    </row>
    <row r="61" spans="2:5" x14ac:dyDescent="0.35">
      <c r="B61" s="43" t="s">
        <v>187</v>
      </c>
      <c r="C61" s="44"/>
      <c r="D61" s="44"/>
      <c r="E61" s="44"/>
    </row>
    <row r="62" spans="2:5" x14ac:dyDescent="0.35">
      <c r="B62" s="33" t="s">
        <v>188</v>
      </c>
      <c r="C62" s="47">
        <f>currentYear_debt_long_term/(currentYear_debt_long_term+currentYear_equity)</f>
        <v>0.60091100210231252</v>
      </c>
      <c r="D62" s="37" t="s">
        <v>222</v>
      </c>
      <c r="E62" s="38"/>
    </row>
    <row r="63" spans="2:5" x14ac:dyDescent="0.35">
      <c r="B63" s="33" t="s">
        <v>189</v>
      </c>
      <c r="C63" s="47">
        <f>currentYear_debt_long_term/currentYear_equity</f>
        <v>1.5057067603160668</v>
      </c>
      <c r="D63" s="37" t="s">
        <v>223</v>
      </c>
      <c r="E63" s="38"/>
    </row>
    <row r="64" spans="2:5" x14ac:dyDescent="0.35">
      <c r="B64" s="33" t="s">
        <v>190</v>
      </c>
      <c r="C64" s="47">
        <f>currentYear_liabilities_total/currentYear_assets_total</f>
        <v>0.84396405282481235</v>
      </c>
      <c r="D64" s="37" t="s">
        <v>224</v>
      </c>
      <c r="E64" s="38"/>
    </row>
    <row r="65" spans="2:5" x14ac:dyDescent="0.35">
      <c r="B65" s="33" t="s">
        <v>191</v>
      </c>
      <c r="C65" s="47" cm="1">
        <f t="array" ref="C65">INC_ebit/INC_interest_expense</f>
        <v>36.413380819129991</v>
      </c>
      <c r="D65" s="37" t="s">
        <v>225</v>
      </c>
      <c r="E65" s="38"/>
    </row>
    <row r="66" spans="2:5" x14ac:dyDescent="0.35">
      <c r="B66" s="33" t="s">
        <v>192</v>
      </c>
      <c r="C66" s="47">
        <f>(INC_ebit+INC_depreciation)/INC_interest_expense</f>
        <v>39.324853726787076</v>
      </c>
      <c r="D66" s="37" t="s">
        <v>226</v>
      </c>
      <c r="E66" s="38"/>
    </row>
    <row r="67" spans="2:5" x14ac:dyDescent="0.35">
      <c r="B67" s="33" t="s">
        <v>193</v>
      </c>
      <c r="C67" s="47">
        <f>INC_net/currentYear_after_tax_operating_income</f>
        <v>0.97432523706995977</v>
      </c>
      <c r="D67" s="37" t="s">
        <v>227</v>
      </c>
      <c r="E67" s="38" t="s">
        <v>234</v>
      </c>
    </row>
    <row r="68" spans="2:5" x14ac:dyDescent="0.35">
      <c r="B68" s="33" t="s">
        <v>194</v>
      </c>
      <c r="C68" s="47">
        <f>currentYear_assets_total/currentYear_equity</f>
        <v>6.408779631255487</v>
      </c>
      <c r="D68" s="37" t="s">
        <v>228</v>
      </c>
      <c r="E68" s="38" t="s">
        <v>235</v>
      </c>
    </row>
    <row r="69" spans="2:5" x14ac:dyDescent="0.35">
      <c r="D69" s="37"/>
      <c r="E69" s="38"/>
    </row>
    <row r="70" spans="2:5" x14ac:dyDescent="0.35">
      <c r="B70" s="43" t="s">
        <v>195</v>
      </c>
      <c r="C70" s="44"/>
      <c r="D70" s="44"/>
      <c r="E70" s="44"/>
    </row>
    <row r="71" spans="2:5" x14ac:dyDescent="0.35">
      <c r="B71" s="33" t="s">
        <v>196</v>
      </c>
      <c r="C71" s="47">
        <f>currentYear_working_capital_net/currentYear_assets_total</f>
        <v>-6.4126801468573622E-2</v>
      </c>
      <c r="D71" s="37" t="s">
        <v>229</v>
      </c>
      <c r="E71" s="38"/>
    </row>
    <row r="72" spans="2:5" x14ac:dyDescent="0.35">
      <c r="B72" s="33" t="s">
        <v>197</v>
      </c>
      <c r="C72" s="47">
        <f>currentYear_assets_current/currentYear_liabilities_current</f>
        <v>0.86731257653408322</v>
      </c>
      <c r="D72" s="37" t="s">
        <v>230</v>
      </c>
      <c r="E72" s="38"/>
    </row>
    <row r="73" spans="2:5" x14ac:dyDescent="0.35">
      <c r="B73" s="33" t="s">
        <v>236</v>
      </c>
      <c r="C73" s="47" cm="1">
        <f t="array" ref="C73">(currentYear_cash_marketable_securities+BAL_receivables_2024)/currentYear_liabilities_current</f>
        <v>0.5588745521338836</v>
      </c>
      <c r="D73" s="37" t="s">
        <v>276</v>
      </c>
      <c r="E73" s="38"/>
    </row>
    <row r="74" spans="2:5" x14ac:dyDescent="0.35">
      <c r="B74" s="33" t="s">
        <v>198</v>
      </c>
      <c r="C74" s="47">
        <f>currentYear_cash_marketable_securities/currentYear_liabilities_current</f>
        <v>0.36946686924577077</v>
      </c>
      <c r="D74" s="37" t="s">
        <v>231</v>
      </c>
      <c r="E74" s="38"/>
    </row>
    <row r="75" spans="2:5" x14ac:dyDescent="0.35">
      <c r="D75" s="37"/>
      <c r="E75" s="38"/>
    </row>
    <row r="76" spans="2:5" x14ac:dyDescent="0.35">
      <c r="B76" s="43" t="s">
        <v>199</v>
      </c>
      <c r="C76" s="44"/>
      <c r="D76" s="44"/>
      <c r="E76" s="44"/>
    </row>
    <row r="77" spans="2:5" x14ac:dyDescent="0.35">
      <c r="B77" s="33" t="s">
        <v>200</v>
      </c>
      <c r="C77" s="47">
        <f>RATIO_asset_turnover*RATIO_operating_profit_margin</f>
        <v>0.32959226338195541</v>
      </c>
      <c r="D77" s="37" t="s">
        <v>237</v>
      </c>
    </row>
    <row r="78" spans="2:5" x14ac:dyDescent="0.35">
      <c r="B78" s="33" t="s">
        <v>201</v>
      </c>
      <c r="C78" s="47">
        <f>RATIO_asset_turnover</f>
        <v>1.1090580090361701</v>
      </c>
      <c r="D78" s="37" t="s">
        <v>238</v>
      </c>
      <c r="E78" s="38" t="s">
        <v>232</v>
      </c>
    </row>
    <row r="79" spans="2:5" x14ac:dyDescent="0.35">
      <c r="B79" s="33" t="s">
        <v>202</v>
      </c>
      <c r="C79" s="47">
        <f>RATIO_operating_profit_margin</f>
        <v>0.29718216783663864</v>
      </c>
      <c r="D79" s="37" t="s">
        <v>238</v>
      </c>
      <c r="E79" s="38" t="s">
        <v>233</v>
      </c>
    </row>
    <row r="80" spans="2:5" x14ac:dyDescent="0.35">
      <c r="C80" s="45"/>
      <c r="D80" s="37"/>
      <c r="E80" s="38"/>
    </row>
    <row r="81" spans="2:5" x14ac:dyDescent="0.35">
      <c r="B81" s="33" t="s">
        <v>203</v>
      </c>
      <c r="C81" s="47">
        <f>RATIO_leverage*RATIO_asset_turnover*RATIO_operating_profit_margin*RATIO_debt_burden</f>
        <v>2.058051788511932</v>
      </c>
      <c r="D81" s="37" t="s">
        <v>239</v>
      </c>
      <c r="E81" s="38"/>
    </row>
    <row r="82" spans="2:5" x14ac:dyDescent="0.35">
      <c r="B82" s="33" t="s">
        <v>204</v>
      </c>
      <c r="C82" s="47">
        <f>RATIO_leverage</f>
        <v>6.408779631255487</v>
      </c>
      <c r="D82" s="37" t="s">
        <v>240</v>
      </c>
      <c r="E82" s="38" t="s">
        <v>235</v>
      </c>
    </row>
    <row r="83" spans="2:5" x14ac:dyDescent="0.35">
      <c r="B83" s="33" t="s">
        <v>201</v>
      </c>
      <c r="C83" s="47">
        <f>RATIO_asset_turnover</f>
        <v>1.1090580090361701</v>
      </c>
      <c r="D83" s="37" t="s">
        <v>238</v>
      </c>
      <c r="E83" s="38" t="s">
        <v>232</v>
      </c>
    </row>
    <row r="84" spans="2:5" x14ac:dyDescent="0.35">
      <c r="B84" s="33" t="s">
        <v>202</v>
      </c>
      <c r="C84" s="47">
        <f>RATIO_operating_profit_margin</f>
        <v>0.29718216783663864</v>
      </c>
      <c r="D84" s="37" t="s">
        <v>238</v>
      </c>
      <c r="E84" s="38" t="s">
        <v>233</v>
      </c>
    </row>
    <row r="85" spans="2:5" x14ac:dyDescent="0.35">
      <c r="B85" s="33" t="s">
        <v>205</v>
      </c>
      <c r="C85" s="47">
        <f>RATIO_debt_burden</f>
        <v>0.97432523706995977</v>
      </c>
      <c r="D85" s="37" t="s">
        <v>240</v>
      </c>
      <c r="E85" s="38" t="s">
        <v>234</v>
      </c>
    </row>
    <row r="86" spans="2:5" x14ac:dyDescent="0.35">
      <c r="D86" s="37"/>
      <c r="E86" s="38"/>
    </row>
    <row r="87" spans="2:5" x14ac:dyDescent="0.35">
      <c r="B87" s="46" t="s">
        <v>241</v>
      </c>
      <c r="C87" s="48" t="s">
        <v>242</v>
      </c>
      <c r="D87" s="49" t="s">
        <v>243</v>
      </c>
      <c r="E87" s="50" t="s">
        <v>244</v>
      </c>
    </row>
    <row r="88" spans="2:5" x14ac:dyDescent="0.35">
      <c r="B88" s="32" t="s">
        <v>19</v>
      </c>
      <c r="D88" s="37"/>
    </row>
    <row r="89" spans="2:5" x14ac:dyDescent="0.35">
      <c r="D89" s="37"/>
    </row>
    <row r="90" spans="2:5" x14ac:dyDescent="0.35">
      <c r="B90" s="45"/>
      <c r="D90" s="3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4B8F-9F0C-41B4-88B8-4FBED2493CD2}">
  <dimension ref="B1:C20"/>
  <sheetViews>
    <sheetView showGridLines="0" topLeftCell="A9" workbookViewId="0">
      <selection activeCell="B19" sqref="B19"/>
    </sheetView>
  </sheetViews>
  <sheetFormatPr defaultRowHeight="13" x14ac:dyDescent="0.35"/>
  <cols>
    <col min="1" max="1" width="8.7265625" style="33"/>
    <col min="2" max="2" width="50.6328125" style="53" bestFit="1" customWidth="1"/>
    <col min="3" max="3" width="56.1796875" style="54" customWidth="1"/>
    <col min="4" max="16384" width="8.7265625" style="33"/>
  </cols>
  <sheetData>
    <row r="1" spans="2:3" ht="19.5" x14ac:dyDescent="0.35">
      <c r="B1" s="55" t="s">
        <v>245</v>
      </c>
    </row>
    <row r="2" spans="2:3" x14ac:dyDescent="0.35">
      <c r="B2" s="56"/>
    </row>
    <row r="3" spans="2:3" x14ac:dyDescent="0.35">
      <c r="B3" s="56" t="s">
        <v>246</v>
      </c>
      <c r="C3" s="54" t="s">
        <v>262</v>
      </c>
    </row>
    <row r="4" spans="2:3" x14ac:dyDescent="0.35">
      <c r="B4" s="56" t="s">
        <v>247</v>
      </c>
      <c r="C4" s="54" t="s">
        <v>263</v>
      </c>
    </row>
    <row r="5" spans="2:3" x14ac:dyDescent="0.35">
      <c r="B5" s="56" t="s">
        <v>248</v>
      </c>
      <c r="C5" s="54" t="s">
        <v>264</v>
      </c>
    </row>
    <row r="6" spans="2:3" x14ac:dyDescent="0.35">
      <c r="B6" s="56" t="s">
        <v>249</v>
      </c>
      <c r="C6" s="54" t="s">
        <v>33</v>
      </c>
    </row>
    <row r="7" spans="2:3" x14ac:dyDescent="0.35">
      <c r="B7" s="56" t="s">
        <v>250</v>
      </c>
      <c r="C7" s="54" t="s">
        <v>34</v>
      </c>
    </row>
    <row r="8" spans="2:3" x14ac:dyDescent="0.35">
      <c r="B8" s="56" t="s">
        <v>251</v>
      </c>
      <c r="C8" s="54" t="s">
        <v>265</v>
      </c>
    </row>
    <row r="9" spans="2:3" x14ac:dyDescent="0.35">
      <c r="B9" s="56" t="s">
        <v>252</v>
      </c>
      <c r="C9" s="54" t="s">
        <v>266</v>
      </c>
    </row>
    <row r="10" spans="2:3" x14ac:dyDescent="0.35">
      <c r="B10" s="56" t="s">
        <v>253</v>
      </c>
      <c r="C10" s="54" t="s">
        <v>267</v>
      </c>
    </row>
    <row r="11" spans="2:3" ht="26" x14ac:dyDescent="0.35">
      <c r="B11" s="56" t="s">
        <v>254</v>
      </c>
      <c r="C11" s="54" t="s">
        <v>268</v>
      </c>
    </row>
    <row r="12" spans="2:3" x14ac:dyDescent="0.35">
      <c r="B12" s="56" t="s">
        <v>255</v>
      </c>
      <c r="C12" s="54" t="s">
        <v>269</v>
      </c>
    </row>
    <row r="13" spans="2:3" x14ac:dyDescent="0.35">
      <c r="B13" s="56" t="s">
        <v>256</v>
      </c>
      <c r="C13" s="54" t="s">
        <v>270</v>
      </c>
    </row>
    <row r="14" spans="2:3" x14ac:dyDescent="0.35">
      <c r="B14" s="57"/>
    </row>
    <row r="15" spans="2:3" ht="26" x14ac:dyDescent="0.35">
      <c r="B15" s="56" t="s">
        <v>257</v>
      </c>
      <c r="C15" s="54" t="s">
        <v>271</v>
      </c>
    </row>
    <row r="16" spans="2:3" ht="26" x14ac:dyDescent="0.35">
      <c r="B16" s="56" t="s">
        <v>258</v>
      </c>
      <c r="C16" s="54" t="s">
        <v>272</v>
      </c>
    </row>
    <row r="17" spans="2:3" ht="26" x14ac:dyDescent="0.35">
      <c r="B17" s="56" t="s">
        <v>259</v>
      </c>
      <c r="C17" s="54" t="s">
        <v>273</v>
      </c>
    </row>
    <row r="18" spans="2:3" ht="26" x14ac:dyDescent="0.35">
      <c r="B18" s="56" t="s">
        <v>260</v>
      </c>
      <c r="C18" s="54" t="s">
        <v>274</v>
      </c>
    </row>
    <row r="19" spans="2:3" x14ac:dyDescent="0.35">
      <c r="B19" s="57"/>
    </row>
    <row r="20" spans="2:3" ht="39" x14ac:dyDescent="0.35">
      <c r="B20" s="56" t="s">
        <v>261</v>
      </c>
      <c r="C20" s="54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51</vt:i4>
      </vt:variant>
    </vt:vector>
  </HeadingPairs>
  <TitlesOfParts>
    <vt:vector size="56" baseType="lpstr"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BAL_assets_current_2024</vt:lpstr>
      <vt:lpstr>BAL_assets_total_2023</vt:lpstr>
      <vt:lpstr>BAL_assets_total_2024</vt:lpstr>
      <vt:lpstr>BAL_cash_marketable_securities_2024</vt:lpstr>
      <vt:lpstr>BAL_debt_long_term_2023</vt:lpstr>
      <vt:lpstr>BAL_debt_long_term_2024</vt:lpstr>
      <vt:lpstr>BAL_equity_shareholders_2023</vt:lpstr>
      <vt:lpstr>BAL_equity_shareholders_2024</vt:lpstr>
      <vt:lpstr>BAL_inventories_2023</vt:lpstr>
      <vt:lpstr>BAL_liabilities_current_2024</vt:lpstr>
      <vt:lpstr>BAL_liabilities_total_2024</vt:lpstr>
      <vt:lpstr>BAL_receivables_2023</vt:lpstr>
      <vt:lpstr>BAL_receivables_2024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currentYear_woking_capital_net</vt:lpstr>
      <vt:lpstr>currentYear_working_capital_net</vt:lpstr>
      <vt:lpstr>debt_long_term_equity</vt:lpstr>
      <vt:lpstr>INC_cost_goods_sold</vt:lpstr>
      <vt:lpstr>INC_depreciation</vt:lpstr>
      <vt:lpstr>INC_ebit</vt:lpstr>
      <vt:lpstr>INC_interest_expense</vt:lpstr>
      <vt:lpstr>INC_net</vt:lpstr>
      <vt:lpstr>INC_sales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Fong</dc:creator>
  <cp:lastModifiedBy>Mia Fong</cp:lastModifiedBy>
  <dcterms:created xsi:type="dcterms:W3CDTF">2026-04-17T19:34:45Z</dcterms:created>
  <dcterms:modified xsi:type="dcterms:W3CDTF">2026-04-25T08:19:54Z</dcterms:modified>
</cp:coreProperties>
</file>